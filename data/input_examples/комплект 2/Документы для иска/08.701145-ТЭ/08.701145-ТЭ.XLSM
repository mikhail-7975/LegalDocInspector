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ДС-14\34. ЖСК Союз-6\"/>
    </mc:Choice>
  </mc:AlternateContent>
  <xr:revisionPtr revIDLastSave="0" documentId="13_ncr:1_{A7993F9E-7782-449B-BA13-4FE1B4899C4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Лист1!$A$64</definedName>
    <definedName name="z">Лист1!$A$1</definedName>
    <definedName name="ДогИтог">Лист1!$41:$41</definedName>
    <definedName name="ДокЗаголовок1">Лист1!#REF!</definedName>
    <definedName name="ДокЗаголовок2">Лист1!$44:$44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Лист1!$45:$45</definedName>
    <definedName name="ДокСтрока3">Лист1!$48:$48</definedName>
    <definedName name="_xlnm.Print_Titles" localSheetId="0">Лист1!$12:$12</definedName>
    <definedName name="ИтогСтрока">Лист1!$42:$42</definedName>
    <definedName name="ИтогСтрока2">Лист1!$43:$43</definedName>
    <definedName name="Шапка">Лист1!$8:$8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2" i="1" l="1"/>
  <c r="B43" i="1" s="1"/>
  <c r="A38" i="1"/>
  <c r="A34" i="1"/>
  <c r="A30" i="1"/>
  <c r="A26" i="1"/>
  <c r="A22" i="1"/>
  <c r="A18" i="1"/>
  <c r="A14" i="1"/>
  <c r="G42" i="1" l="1"/>
</calcChain>
</file>

<file path=xl/sharedStrings.xml><?xml version="1.0" encoding="utf-8"?>
<sst xmlns="http://schemas.openxmlformats.org/spreadsheetml/2006/main" count="43" uniqueCount="41">
  <si>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</si>
  <si>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</si>
  <si>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</si>
  <si>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</si>
  <si>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</si>
  <si>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</si>
  <si>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</si>
  <si>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</si>
  <si>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</si>
  <si>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</si>
  <si>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</si>
  <si>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</si>
  <si>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</si>
  <si>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</si>
  <si>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</si>
  <si>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</si>
  <si>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</si>
  <si>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</si>
  <si>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</si>
  <si>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</si>
  <si>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</si>
  <si>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08.701145-ТЭ</t>
  </si>
  <si>
    <t>01.01.2012</t>
  </si>
  <si>
    <t>Жилищно-строительный кооператив "Союз-6"</t>
  </si>
  <si>
    <t>01.12.2024</t>
  </si>
  <si>
    <t>ЗАО - юр.лица</t>
  </si>
  <si>
    <t>30.07.2025 12:05</t>
  </si>
  <si>
    <t>Декабрь 2024 года</t>
  </si>
  <si>
    <t>Задолженность по счету 1/12 ФФ</t>
  </si>
  <si>
    <t>Доля от размера годовой корректировки платы за тепловую энергию по итогам 2024 года, подлежащая оплате в январе 2025</t>
  </si>
  <si>
    <t>Срок оплаты: 31.01.2025</t>
  </si>
  <si>
    <t>Доля от размера годовой корректировки платы за тепловую энергию по итогам 2024 года, подлежащая оплате в феврале 2025</t>
  </si>
  <si>
    <t>Срок оплаты: 28.02.2025</t>
  </si>
  <si>
    <t>Доля от размера годовой корректировки платы за тепловую энергию по итогам 2024 года, подлежащая оплате в марте 2025</t>
  </si>
  <si>
    <t>Срок оплаты: 31.03.2025</t>
  </si>
  <si>
    <t>Апрель 2025 года</t>
  </si>
  <si>
    <t>Доля от размера годовой корректировки платы за тепловую энергию по итогам 2024 года, подлежащая оплате в апреле 2025</t>
  </si>
  <si>
    <t>Срок оплаты: 30.04.2025</t>
  </si>
  <si>
    <t>Доля от размера годовой корректировки платы за тепловую энергию по итогам 2024 года, подлежащая оплате в мае 2025</t>
  </si>
  <si>
    <t>Срок оплаты: 31.05.2025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</si>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</sst>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22" fontId="4" fillId="0" borderId="0" xfId="0" applyNumberFormat="1" applyFont="1"/>
    <xf numFmtId="0" fontId="5" fillId="0" borderId="0" xfId="0" applyFont="1"/>
    <xf numFmtId="0" fontId="1" fillId="0" borderId="0" xfId="0" applyFont="1" applyAlignment="1">
      <alignment horizontal="right"/>
    </xf>
    <xf numFmtId="49" fontId="3" fillId="0" borderId="0" xfId="0" applyNumberFormat="1" applyFont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3" fillId="2" borderId="5" xfId="0" applyNumberFormat="1" applyFont="1" applyFill="1" applyBorder="1"/>
    <xf numFmtId="164" fontId="3" fillId="2" borderId="6" xfId="0" applyNumberFormat="1" applyFont="1" applyFill="1" applyBorder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Border="1"/>
    <xf numFmtId="0" fontId="8" fillId="0" borderId="11" xfId="0" applyFont="1" applyBorder="1"/>
    <xf numFmtId="0" fontId="0" fillId="0" borderId="12" xfId="0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Border="1"/>
    <xf numFmtId="0" fontId="0" fillId="0" borderId="14" xfId="0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164" fontId="3" fillId="2" borderId="5" xfId="0" applyNumberFormat="1" applyFont="1" applyFill="1" applyBorder="1" applyAlignment="1">
      <alignment wrapText="1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/>
    </xf>
    <xf numFmtId="4" fontId="1" fillId="3" borderId="9" xfId="0" applyNumberFormat="1" applyFont="1" applyFill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61"/>
  <sheetViews>
    <sheetView tabSelected="1" topLeftCell="A13" zoomScale="70" zoomScaleNormal="70" zoomScaleSheetLayoutView="100" workbookViewId="0">
      <selection activeCell="G39" activeCellId="6" sqref="G15 G31 G19 G23 G27 G35 G39"/>
    </sheetView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1" customFormat="1" x14ac:dyDescent="0.2">
      <c r="A1" s="38" t="s">
        <v>18</v>
      </c>
      <c r="B1" s="37">
        <v>8026054</v>
      </c>
      <c r="E1" s="2" t="s">
        <v>26</v>
      </c>
    </row>
    <row r="2" spans="1:8" s="1" customFormat="1" x14ac:dyDescent="0.2">
      <c r="E2" s="31"/>
    </row>
    <row r="3" spans="1:8" s="1" customFormat="1" ht="36" customHeight="1" x14ac:dyDescent="0.3">
      <c r="A3" s="47" t="s">
        <v>20</v>
      </c>
      <c r="B3" s="48"/>
      <c r="C3" s="48"/>
      <c r="D3" s="48"/>
      <c r="E3" s="48"/>
    </row>
    <row r="4" spans="1:8" s="1" customFormat="1" ht="18.75" x14ac:dyDescent="0.3">
      <c r="B4" s="48"/>
      <c r="C4" s="48"/>
      <c r="D4" s="48"/>
      <c r="E4" s="3"/>
    </row>
    <row r="5" spans="1:8" s="1" customFormat="1" ht="12" customHeight="1" x14ac:dyDescent="0.25">
      <c r="A5" s="8" t="s">
        <v>14</v>
      </c>
      <c r="B5" s="9" t="s">
        <v>40</v>
      </c>
      <c r="D5" s="4" t="s">
        <v>10</v>
      </c>
      <c r="E5" s="15" t="s">
        <v>24</v>
      </c>
    </row>
    <row r="6" spans="1:8" s="1" customFormat="1" ht="28.5" customHeight="1" x14ac:dyDescent="0.2">
      <c r="A6" s="5" t="s">
        <v>0</v>
      </c>
      <c r="B6" s="49" t="s">
        <v>21</v>
      </c>
      <c r="C6" s="50"/>
      <c r="D6" s="6" t="s">
        <v>1</v>
      </c>
      <c r="E6" s="7" t="s">
        <v>25</v>
      </c>
    </row>
    <row r="7" spans="1:8" s="1" customFormat="1" ht="15" x14ac:dyDescent="0.25">
      <c r="A7" s="8" t="s">
        <v>2</v>
      </c>
      <c r="B7" s="9" t="s">
        <v>22</v>
      </c>
      <c r="C7" s="10"/>
      <c r="D7" s="39" t="s">
        <v>19</v>
      </c>
      <c r="E7" s="40">
        <v>7732084749</v>
      </c>
    </row>
    <row r="8" spans="1:8" s="1" customFormat="1" ht="15" customHeight="1" x14ac:dyDescent="0.2">
      <c r="A8" s="6" t="s">
        <v>3</v>
      </c>
      <c r="B8" s="51" t="s">
        <v>23</v>
      </c>
      <c r="C8" s="52"/>
      <c r="D8" s="52"/>
      <c r="E8" s="52"/>
    </row>
    <row r="9" spans="1:8" s="1" customFormat="1" ht="13.5" thickBot="1" x14ac:dyDescent="0.25"/>
    <row r="10" spans="1:8" s="1" customFormat="1" ht="24" customHeight="1" x14ac:dyDescent="0.2">
      <c r="A10" s="45" t="s">
        <v>4</v>
      </c>
      <c r="B10" s="46"/>
      <c r="C10" s="53" t="s">
        <v>5</v>
      </c>
      <c r="D10" s="46"/>
      <c r="E10" s="54" t="s">
        <v>15</v>
      </c>
      <c r="F10" s="56" t="s">
        <v>16</v>
      </c>
      <c r="G10" s="43" t="s">
        <v>6</v>
      </c>
      <c r="H10" s="43" t="s">
        <v>17</v>
      </c>
    </row>
    <row r="11" spans="1:8" s="1" customFormat="1" ht="15.75" x14ac:dyDescent="0.2">
      <c r="A11" s="11" t="s">
        <v>7</v>
      </c>
      <c r="B11" s="12" t="s">
        <v>8</v>
      </c>
      <c r="C11" s="12" t="s">
        <v>9</v>
      </c>
      <c r="D11" s="12" t="s">
        <v>8</v>
      </c>
      <c r="E11" s="55"/>
      <c r="F11" s="57"/>
      <c r="G11" s="44"/>
      <c r="H11" s="44"/>
    </row>
    <row r="12" spans="1:8" s="1" customFormat="1" ht="16.5" thickBot="1" x14ac:dyDescent="0.3">
      <c r="A12" s="16">
        <v>1</v>
      </c>
      <c r="B12" s="17">
        <v>2</v>
      </c>
      <c r="C12" s="13">
        <v>3</v>
      </c>
      <c r="D12" s="13">
        <v>4</v>
      </c>
      <c r="E12" s="13">
        <v>5</v>
      </c>
      <c r="F12" s="13">
        <v>6</v>
      </c>
      <c r="G12" s="14">
        <v>7</v>
      </c>
      <c r="H12" s="14">
        <v>8</v>
      </c>
    </row>
    <row r="13" spans="1:8" s="1" customFormat="1" ht="17.25" customHeight="1" x14ac:dyDescent="0.2">
      <c r="A13" s="18" t="s">
        <v>27</v>
      </c>
      <c r="B13" s="19"/>
      <c r="C13" s="20"/>
      <c r="D13" s="20"/>
      <c r="E13" s="20"/>
      <c r="F13" s="20"/>
      <c r="G13" s="20"/>
      <c r="H13" s="20"/>
    </row>
    <row r="14" spans="1:8" s="1" customFormat="1" ht="12.75" customHeight="1" x14ac:dyDescent="0.2">
      <c r="A14" s="21" t="str">
        <f>"12.2024"</f>
        <v>12.2024</v>
      </c>
      <c r="B14" s="22">
        <v>465385.82</v>
      </c>
      <c r="C14" s="23"/>
      <c r="D14" s="24"/>
      <c r="E14" s="35"/>
      <c r="F14" s="35"/>
      <c r="G14" s="25"/>
      <c r="H14" s="36" t="s">
        <v>28</v>
      </c>
    </row>
    <row r="15" spans="1:8" s="1" customFormat="1" ht="12.75" customHeight="1" x14ac:dyDescent="0.2">
      <c r="A15" s="21"/>
      <c r="B15" s="22"/>
      <c r="C15" s="23"/>
      <c r="D15" s="24"/>
      <c r="E15" s="35"/>
      <c r="F15" s="35"/>
      <c r="G15" s="25">
        <v>465385.82</v>
      </c>
      <c r="H15" s="36"/>
    </row>
    <row r="16" spans="1:8" s="1" customFormat="1" ht="16.5" customHeight="1" thickBot="1" x14ac:dyDescent="0.25">
      <c r="A16" s="26"/>
      <c r="B16" s="29">
        <v>465385.82</v>
      </c>
      <c r="C16" s="27"/>
      <c r="D16" s="30">
        <v>0</v>
      </c>
      <c r="E16" s="27"/>
      <c r="F16" s="34"/>
      <c r="G16" s="28"/>
      <c r="H16" s="28"/>
    </row>
    <row r="17" spans="1:8" s="1" customFormat="1" ht="45.75" customHeight="1" x14ac:dyDescent="0.2">
      <c r="A17" s="42" t="s">
        <v>29</v>
      </c>
      <c r="B17" s="19"/>
      <c r="C17" s="20"/>
      <c r="D17" s="20"/>
      <c r="E17" s="20"/>
      <c r="F17" s="20"/>
      <c r="G17" s="20"/>
      <c r="H17" s="20"/>
    </row>
    <row r="18" spans="1:8" s="1" customFormat="1" ht="12.75" customHeight="1" x14ac:dyDescent="0.2">
      <c r="A18" s="21" t="str">
        <f>"12.2024"</f>
        <v>12.2024</v>
      </c>
      <c r="B18" s="22">
        <v>2632.24</v>
      </c>
      <c r="C18" s="23"/>
      <c r="D18" s="24"/>
      <c r="E18" s="35"/>
      <c r="F18" s="35"/>
      <c r="G18" s="25"/>
      <c r="H18" s="36" t="s">
        <v>30</v>
      </c>
    </row>
    <row r="19" spans="1:8" s="1" customFormat="1" ht="12.75" customHeight="1" x14ac:dyDescent="0.2">
      <c r="A19" s="21"/>
      <c r="B19" s="22"/>
      <c r="C19" s="23"/>
      <c r="D19" s="24"/>
      <c r="E19" s="35"/>
      <c r="F19" s="35"/>
      <c r="G19" s="25">
        <v>2632.24</v>
      </c>
      <c r="H19" s="36"/>
    </row>
    <row r="20" spans="1:8" s="1" customFormat="1" ht="16.5" customHeight="1" thickBot="1" x14ac:dyDescent="0.25">
      <c r="A20" s="26"/>
      <c r="B20" s="29">
        <v>2632.24</v>
      </c>
      <c r="C20" s="27"/>
      <c r="D20" s="30">
        <v>0</v>
      </c>
      <c r="E20" s="27"/>
      <c r="F20" s="34"/>
      <c r="G20" s="28"/>
      <c r="H20" s="28"/>
    </row>
    <row r="21" spans="1:8" s="1" customFormat="1" ht="45.75" customHeight="1" x14ac:dyDescent="0.2">
      <c r="A21" s="42" t="s">
        <v>31</v>
      </c>
      <c r="B21" s="19"/>
      <c r="C21" s="20"/>
      <c r="D21" s="20"/>
      <c r="E21" s="20"/>
      <c r="F21" s="20"/>
      <c r="G21" s="20"/>
      <c r="H21" s="20"/>
    </row>
    <row r="22" spans="1:8" s="1" customFormat="1" ht="12.75" customHeight="1" x14ac:dyDescent="0.2">
      <c r="A22" s="21" t="str">
        <f>"12.2024"</f>
        <v>12.2024</v>
      </c>
      <c r="B22" s="22">
        <v>2632.24</v>
      </c>
      <c r="C22" s="23"/>
      <c r="D22" s="24"/>
      <c r="E22" s="35"/>
      <c r="F22" s="35"/>
      <c r="G22" s="25"/>
      <c r="H22" s="36" t="s">
        <v>32</v>
      </c>
    </row>
    <row r="23" spans="1:8" s="1" customFormat="1" ht="12.75" customHeight="1" x14ac:dyDescent="0.2">
      <c r="A23" s="21"/>
      <c r="B23" s="22"/>
      <c r="C23" s="23"/>
      <c r="D23" s="24"/>
      <c r="E23" s="35"/>
      <c r="F23" s="35"/>
      <c r="G23" s="25">
        <v>2632.24</v>
      </c>
      <c r="H23" s="36"/>
    </row>
    <row r="24" spans="1:8" s="1" customFormat="1" ht="16.5" customHeight="1" thickBot="1" x14ac:dyDescent="0.25">
      <c r="A24" s="26"/>
      <c r="B24" s="29">
        <v>2632.24</v>
      </c>
      <c r="C24" s="27"/>
      <c r="D24" s="30">
        <v>0</v>
      </c>
      <c r="E24" s="27"/>
      <c r="F24" s="34"/>
      <c r="G24" s="28"/>
      <c r="H24" s="28"/>
    </row>
    <row r="25" spans="1:8" s="1" customFormat="1" ht="45.75" customHeight="1" x14ac:dyDescent="0.2">
      <c r="A25" s="42" t="s">
        <v>33</v>
      </c>
      <c r="B25" s="19"/>
      <c r="C25" s="20"/>
      <c r="D25" s="20"/>
      <c r="E25" s="20"/>
      <c r="F25" s="20"/>
      <c r="G25" s="20"/>
      <c r="H25" s="20"/>
    </row>
    <row r="26" spans="1:8" s="1" customFormat="1" ht="12.75" customHeight="1" x14ac:dyDescent="0.2">
      <c r="A26" s="21" t="str">
        <f>"12.2024"</f>
        <v>12.2024</v>
      </c>
      <c r="B26" s="22">
        <v>2632.24</v>
      </c>
      <c r="C26" s="23"/>
      <c r="D26" s="24"/>
      <c r="E26" s="35"/>
      <c r="F26" s="35"/>
      <c r="G26" s="25"/>
      <c r="H26" s="36" t="s">
        <v>34</v>
      </c>
    </row>
    <row r="27" spans="1:8" s="1" customFormat="1" ht="12.75" customHeight="1" x14ac:dyDescent="0.2">
      <c r="A27" s="21"/>
      <c r="B27" s="22"/>
      <c r="C27" s="23"/>
      <c r="D27" s="24"/>
      <c r="E27" s="35"/>
      <c r="F27" s="35"/>
      <c r="G27" s="25">
        <v>2632.24</v>
      </c>
      <c r="H27" s="36"/>
    </row>
    <row r="28" spans="1:8" s="1" customFormat="1" ht="16.5" customHeight="1" thickBot="1" x14ac:dyDescent="0.25">
      <c r="A28" s="26"/>
      <c r="B28" s="29">
        <v>2632.24</v>
      </c>
      <c r="C28" s="27"/>
      <c r="D28" s="30">
        <v>0</v>
      </c>
      <c r="E28" s="27"/>
      <c r="F28" s="34"/>
      <c r="G28" s="28"/>
      <c r="H28" s="28"/>
    </row>
    <row r="29" spans="1:8" s="1" customFormat="1" ht="17.25" customHeight="1" x14ac:dyDescent="0.2">
      <c r="A29" s="18" t="s">
        <v>35</v>
      </c>
      <c r="B29" s="19"/>
      <c r="C29" s="20"/>
      <c r="D29" s="20"/>
      <c r="E29" s="20"/>
      <c r="F29" s="20"/>
      <c r="G29" s="20"/>
      <c r="H29" s="20"/>
    </row>
    <row r="30" spans="1:8" s="1" customFormat="1" ht="12.75" customHeight="1" x14ac:dyDescent="0.2">
      <c r="A30" s="21" t="str">
        <f>"04.2025"</f>
        <v>04.2025</v>
      </c>
      <c r="B30" s="22">
        <v>466868.94</v>
      </c>
      <c r="C30" s="23"/>
      <c r="D30" s="24"/>
      <c r="E30" s="35"/>
      <c r="F30" s="35"/>
      <c r="G30" s="25"/>
      <c r="H30" s="36" t="s">
        <v>28</v>
      </c>
    </row>
    <row r="31" spans="1:8" s="1" customFormat="1" ht="12.75" customHeight="1" x14ac:dyDescent="0.2">
      <c r="A31" s="21"/>
      <c r="B31" s="22"/>
      <c r="C31" s="23"/>
      <c r="D31" s="24"/>
      <c r="E31" s="35"/>
      <c r="F31" s="35"/>
      <c r="G31" s="25">
        <v>466868.94</v>
      </c>
      <c r="H31" s="36"/>
    </row>
    <row r="32" spans="1:8" s="1" customFormat="1" ht="16.5" customHeight="1" thickBot="1" x14ac:dyDescent="0.25">
      <c r="A32" s="26"/>
      <c r="B32" s="29">
        <v>466868.94</v>
      </c>
      <c r="C32" s="27"/>
      <c r="D32" s="30">
        <v>0</v>
      </c>
      <c r="E32" s="27"/>
      <c r="F32" s="34"/>
      <c r="G32" s="28"/>
      <c r="H32" s="28"/>
    </row>
    <row r="33" spans="1:8" s="1" customFormat="1" ht="45.75" customHeight="1" x14ac:dyDescent="0.2">
      <c r="A33" s="42" t="s">
        <v>36</v>
      </c>
      <c r="B33" s="19"/>
      <c r="C33" s="20"/>
      <c r="D33" s="20"/>
      <c r="E33" s="20"/>
      <c r="F33" s="20"/>
      <c r="G33" s="20"/>
      <c r="H33" s="20"/>
    </row>
    <row r="34" spans="1:8" s="1" customFormat="1" ht="12.75" customHeight="1" x14ac:dyDescent="0.2">
      <c r="A34" s="21" t="str">
        <f>"12.2024"</f>
        <v>12.2024</v>
      </c>
      <c r="B34" s="22">
        <v>2632.24</v>
      </c>
      <c r="C34" s="23"/>
      <c r="D34" s="24"/>
      <c r="E34" s="35"/>
      <c r="F34" s="35"/>
      <c r="G34" s="25"/>
      <c r="H34" s="36" t="s">
        <v>37</v>
      </c>
    </row>
    <row r="35" spans="1:8" s="1" customFormat="1" ht="12.75" customHeight="1" x14ac:dyDescent="0.2">
      <c r="A35" s="21"/>
      <c r="B35" s="22"/>
      <c r="C35" s="23"/>
      <c r="D35" s="24"/>
      <c r="E35" s="35"/>
      <c r="F35" s="35"/>
      <c r="G35" s="25">
        <v>2632.24</v>
      </c>
      <c r="H35" s="36"/>
    </row>
    <row r="36" spans="1:8" s="1" customFormat="1" ht="16.5" customHeight="1" thickBot="1" x14ac:dyDescent="0.25">
      <c r="A36" s="26"/>
      <c r="B36" s="29">
        <v>2632.24</v>
      </c>
      <c r="C36" s="27"/>
      <c r="D36" s="30">
        <v>0</v>
      </c>
      <c r="E36" s="27"/>
      <c r="F36" s="34"/>
      <c r="G36" s="28"/>
      <c r="H36" s="28"/>
    </row>
    <row r="37" spans="1:8" s="1" customFormat="1" ht="45.75" customHeight="1" x14ac:dyDescent="0.2">
      <c r="A37" s="42" t="s">
        <v>38</v>
      </c>
      <c r="B37" s="19"/>
      <c r="C37" s="20"/>
      <c r="D37" s="20"/>
      <c r="E37" s="20"/>
      <c r="F37" s="20"/>
      <c r="G37" s="20"/>
      <c r="H37" s="20"/>
    </row>
    <row r="38" spans="1:8" s="1" customFormat="1" ht="12.75" customHeight="1" x14ac:dyDescent="0.2">
      <c r="A38" s="21" t="str">
        <f>"12.2024"</f>
        <v>12.2024</v>
      </c>
      <c r="B38" s="22">
        <v>2632.24</v>
      </c>
      <c r="C38" s="23"/>
      <c r="D38" s="24"/>
      <c r="E38" s="35"/>
      <c r="F38" s="35"/>
      <c r="G38" s="25"/>
      <c r="H38" s="36" t="s">
        <v>39</v>
      </c>
    </row>
    <row r="39" spans="1:8" s="1" customFormat="1" ht="12.75" customHeight="1" x14ac:dyDescent="0.2">
      <c r="A39" s="21"/>
      <c r="B39" s="22"/>
      <c r="C39" s="23"/>
      <c r="D39" s="24"/>
      <c r="E39" s="35"/>
      <c r="F39" s="35"/>
      <c r="G39" s="25">
        <v>2632.24</v>
      </c>
      <c r="H39" s="36"/>
    </row>
    <row r="40" spans="1:8" s="1" customFormat="1" ht="16.5" customHeight="1" thickBot="1" x14ac:dyDescent="0.25">
      <c r="A40" s="26"/>
      <c r="B40" s="29">
        <v>2632.24</v>
      </c>
      <c r="C40" s="27"/>
      <c r="D40" s="30">
        <v>0</v>
      </c>
      <c r="E40" s="27"/>
      <c r="F40" s="34"/>
      <c r="G40" s="28"/>
      <c r="H40" s="28"/>
    </row>
    <row r="41" spans="1:8" s="1" customFormat="1" ht="17.25" customHeight="1" x14ac:dyDescent="0.2">
      <c r="A41" s="18" t="s">
        <v>11</v>
      </c>
      <c r="B41" s="19"/>
      <c r="C41" s="20"/>
      <c r="D41" s="20"/>
      <c r="E41" s="20"/>
      <c r="F41" s="20"/>
      <c r="G41" s="20"/>
      <c r="H41" s="20"/>
    </row>
    <row r="42" spans="1:8" s="1" customFormat="1" x14ac:dyDescent="0.2">
      <c r="A42" s="21"/>
      <c r="B42" s="22">
        <f>B40+B36+B32+B28+B24+B20+B16</f>
        <v>945415.96</v>
      </c>
      <c r="C42" s="23"/>
      <c r="D42" s="24">
        <v>0</v>
      </c>
      <c r="E42" s="23"/>
      <c r="F42" s="24"/>
      <c r="G42" s="58">
        <f>B42</f>
        <v>945415.96</v>
      </c>
      <c r="H42" s="25"/>
    </row>
    <row r="43" spans="1:8" s="1" customFormat="1" ht="16.5" customHeight="1" thickBot="1" x14ac:dyDescent="0.25">
      <c r="A43" s="26"/>
      <c r="B43" s="29">
        <f>B42</f>
        <v>945415.96</v>
      </c>
      <c r="C43" s="27"/>
      <c r="D43" s="30">
        <v>0</v>
      </c>
      <c r="E43" s="27"/>
      <c r="F43" s="34"/>
      <c r="G43" s="28"/>
      <c r="H43" s="28"/>
    </row>
    <row r="44" spans="1:8" s="1" customFormat="1" ht="17.25" customHeight="1" x14ac:dyDescent="0.2">
      <c r="A44" s="18" t="s">
        <v>13</v>
      </c>
      <c r="B44" s="19"/>
      <c r="C44" s="20"/>
      <c r="D44" s="20"/>
      <c r="E44" s="20"/>
      <c r="F44" s="20"/>
      <c r="G44" s="20"/>
      <c r="H44" s="20"/>
    </row>
    <row r="45" spans="1:8" s="1" customFormat="1" ht="12.75" customHeight="1" x14ac:dyDescent="0.2">
      <c r="A45" s="21"/>
      <c r="B45" s="22"/>
      <c r="C45" s="23"/>
      <c r="D45" s="24"/>
      <c r="E45" s="23"/>
      <c r="F45" s="24"/>
      <c r="G45" s="25">
        <v>0</v>
      </c>
      <c r="H45" s="25"/>
    </row>
    <row r="46" spans="1:8" s="1" customFormat="1" ht="13.5" thickBot="1" x14ac:dyDescent="0.25">
      <c r="A46" s="26"/>
      <c r="B46" s="29">
        <v>0</v>
      </c>
      <c r="C46" s="27"/>
      <c r="D46" s="30">
        <v>0</v>
      </c>
      <c r="E46" s="27"/>
      <c r="F46" s="34"/>
      <c r="G46" s="28"/>
      <c r="H46" s="28"/>
    </row>
    <row r="47" spans="1:8" s="1" customFormat="1" ht="17.25" customHeight="1" x14ac:dyDescent="0.2">
      <c r="A47" s="18" t="s">
        <v>12</v>
      </c>
      <c r="B47" s="19"/>
      <c r="C47" s="20"/>
      <c r="D47" s="20"/>
      <c r="E47" s="20"/>
      <c r="F47" s="20"/>
      <c r="G47" s="20"/>
      <c r="H47" s="20"/>
    </row>
    <row r="48" spans="1:8" s="1" customFormat="1" ht="12.75" customHeight="1" x14ac:dyDescent="0.2">
      <c r="A48" s="21"/>
      <c r="B48" s="22"/>
      <c r="C48" s="23"/>
      <c r="D48" s="24">
        <v>0</v>
      </c>
      <c r="E48" s="23"/>
      <c r="F48" s="24"/>
      <c r="G48" s="25">
        <v>421314.92</v>
      </c>
      <c r="H48" s="25"/>
    </row>
    <row r="49" spans="1:8" s="1" customFormat="1" ht="12.75" customHeight="1" x14ac:dyDescent="0.2">
      <c r="A49" s="21"/>
      <c r="B49" s="22"/>
      <c r="C49" s="23"/>
      <c r="D49" s="24">
        <v>0</v>
      </c>
      <c r="E49" s="23"/>
      <c r="F49" s="24"/>
      <c r="G49" s="25">
        <v>446744.93</v>
      </c>
      <c r="H49" s="25"/>
    </row>
    <row r="50" spans="1:8" s="1" customFormat="1" ht="12.75" customHeight="1" x14ac:dyDescent="0.2">
      <c r="A50" s="21"/>
      <c r="B50" s="22"/>
      <c r="C50" s="23"/>
      <c r="D50" s="24">
        <v>0</v>
      </c>
      <c r="E50" s="23"/>
      <c r="F50" s="24"/>
      <c r="G50" s="25">
        <v>6401.96</v>
      </c>
      <c r="H50" s="25"/>
    </row>
    <row r="51" spans="1:8" s="1" customFormat="1" ht="12.75" customHeight="1" x14ac:dyDescent="0.2">
      <c r="A51" s="21"/>
      <c r="B51" s="22"/>
      <c r="C51" s="23"/>
      <c r="D51" s="24">
        <v>0</v>
      </c>
      <c r="E51" s="23"/>
      <c r="F51" s="24"/>
      <c r="G51" s="25">
        <v>465385.82</v>
      </c>
      <c r="H51" s="25"/>
    </row>
    <row r="52" spans="1:8" s="1" customFormat="1" ht="12.75" customHeight="1" x14ac:dyDescent="0.2">
      <c r="A52" s="21"/>
      <c r="B52" s="22"/>
      <c r="C52" s="23"/>
      <c r="D52" s="24">
        <v>0</v>
      </c>
      <c r="E52" s="23"/>
      <c r="F52" s="24"/>
      <c r="G52" s="25">
        <v>277836.02</v>
      </c>
      <c r="H52" s="25"/>
    </row>
    <row r="53" spans="1:8" s="1" customFormat="1" ht="12.75" customHeight="1" x14ac:dyDescent="0.2">
      <c r="A53" s="21"/>
      <c r="B53" s="22"/>
      <c r="C53" s="23"/>
      <c r="D53" s="24">
        <v>0</v>
      </c>
      <c r="E53" s="23"/>
      <c r="F53" s="24"/>
      <c r="G53" s="25">
        <v>187549.8</v>
      </c>
      <c r="H53" s="25"/>
    </row>
    <row r="54" spans="1:8" s="1" customFormat="1" ht="12.75" customHeight="1" x14ac:dyDescent="0.2">
      <c r="A54" s="21"/>
      <c r="B54" s="22"/>
      <c r="C54" s="23"/>
      <c r="D54" s="24">
        <v>0</v>
      </c>
      <c r="E54" s="23"/>
      <c r="F54" s="24"/>
      <c r="G54" s="25">
        <v>261830.5</v>
      </c>
      <c r="H54" s="25"/>
    </row>
    <row r="55" spans="1:8" s="1" customFormat="1" ht="12.75" customHeight="1" x14ac:dyDescent="0.2">
      <c r="A55" s="21"/>
      <c r="B55" s="22"/>
      <c r="C55" s="23"/>
      <c r="D55" s="24">
        <v>0</v>
      </c>
      <c r="E55" s="23"/>
      <c r="F55" s="24"/>
      <c r="G55" s="25">
        <v>350533.1</v>
      </c>
      <c r="H55" s="25"/>
    </row>
    <row r="56" spans="1:8" s="1" customFormat="1" ht="12.75" customHeight="1" x14ac:dyDescent="0.2">
      <c r="A56" s="21"/>
      <c r="B56" s="22"/>
      <c r="C56" s="23"/>
      <c r="D56" s="24">
        <v>0</v>
      </c>
      <c r="E56" s="23"/>
      <c r="F56" s="24"/>
      <c r="G56" s="25">
        <v>89091.31</v>
      </c>
      <c r="H56" s="25"/>
    </row>
    <row r="57" spans="1:8" s="1" customFormat="1" ht="12.75" customHeight="1" x14ac:dyDescent="0.2">
      <c r="A57" s="21"/>
      <c r="B57" s="22"/>
      <c r="C57" s="23"/>
      <c r="D57" s="24">
        <v>0</v>
      </c>
      <c r="E57" s="23"/>
      <c r="F57" s="24"/>
      <c r="G57" s="25">
        <v>166867.57</v>
      </c>
      <c r="H57" s="25"/>
    </row>
    <row r="58" spans="1:8" s="1" customFormat="1" ht="12.75" customHeight="1" x14ac:dyDescent="0.2">
      <c r="A58" s="21"/>
      <c r="B58" s="22"/>
      <c r="C58" s="23"/>
      <c r="D58" s="24">
        <v>0</v>
      </c>
      <c r="E58" s="23"/>
      <c r="F58" s="24"/>
      <c r="G58" s="25">
        <v>36687.75</v>
      </c>
      <c r="H58" s="25"/>
    </row>
    <row r="59" spans="1:8" s="1" customFormat="1" ht="12.75" customHeight="1" x14ac:dyDescent="0.2">
      <c r="A59" s="21"/>
      <c r="B59" s="22"/>
      <c r="C59" s="23"/>
      <c r="D59" s="24">
        <v>0</v>
      </c>
      <c r="E59" s="23"/>
      <c r="F59" s="24"/>
      <c r="G59" s="25">
        <v>89248.67</v>
      </c>
      <c r="H59" s="25"/>
    </row>
    <row r="60" spans="1:8" s="1" customFormat="1" ht="13.5" customHeight="1" thickBot="1" x14ac:dyDescent="0.25">
      <c r="A60" s="26"/>
      <c r="B60" s="29"/>
      <c r="C60" s="32"/>
      <c r="D60" s="30"/>
      <c r="E60" s="32"/>
      <c r="F60" s="41"/>
      <c r="G60" s="30">
        <v>2799492.35</v>
      </c>
      <c r="H60" s="33"/>
    </row>
    <row r="61" spans="1:8" s="1" customFormat="1" x14ac:dyDescent="0.2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Dell</cp:lastModifiedBy>
  <cp:lastPrinted>2008-09-24T13:05:01Z</cp:lastPrinted>
  <dcterms:created xsi:type="dcterms:W3CDTF">2008-09-22T07:48:24Z</dcterms:created>
  <dcterms:modified xsi:type="dcterms:W3CDTF">2025-07-30T11:26:42Z</dcterms:modified>
</cp:coreProperties>
</file>