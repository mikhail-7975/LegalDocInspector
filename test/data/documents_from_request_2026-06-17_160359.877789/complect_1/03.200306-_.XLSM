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\\mipcnet.org\vdi\HomeFolders\Nikolaeva_E_K\Desktop\Заявки выполненые\05.02.2026 Яна много\"/>
    </mc:Choice>
  </mc:AlternateContent>
  <bookViews>
    <workbookView xWindow="10110" yWindow="4530" windowWidth="14895" windowHeight="9495"/>
  </bookViews>
  <sheets>
    <sheet name="Лист1" sheetId="1" r:id="rId1"/>
  </sheets>
  <definedNames>
    <definedName name="_IDОтчета">68638</definedName>
    <definedName name="_IDШаблона">68640</definedName>
    <definedName name="_Параметр_1">"'4080946'"</definedName>
    <definedName name="_Параметр_2">"'12.2007'"</definedName>
    <definedName name="dolya">Лист1!$A$51</definedName>
    <definedName name="z">Лист1!$A$1</definedName>
    <definedName name="ДогИтог">Лист1!$17:$17</definedName>
    <definedName name="ДокЗаголовок1">Лист1!#REF!</definedName>
    <definedName name="ДокЗаголовок2">Лист1!$20:$20</definedName>
    <definedName name="ДокИтогМесяц">Лист1!#REF!</definedName>
    <definedName name="ДокИтогМесяц2">Лист1!#REF!</definedName>
    <definedName name="ДокИтогМесяц3">Лист1!#REF!</definedName>
    <definedName name="ДокСтрока">Лист1!$13:$13</definedName>
    <definedName name="ДокСтрока2">Лист1!$21:$21</definedName>
    <definedName name="ДокСтрока3">Лист1!$24:$24</definedName>
    <definedName name="_xlnm.Print_Titles" localSheetId="0">Лист1!$12:$12</definedName>
    <definedName name="ИтогСтрока">Лист1!$18:$18</definedName>
    <definedName name="ИтогСтрока2">Лист1!$19:$19</definedName>
    <definedName name="Шапка">Лист1!$8:$8</definedName>
  </definedNames>
  <calcPr calcId="162913"/>
</workbook>
</file>

<file path=xl/calcChain.xml><?xml version="1.0" encoding="utf-8"?>
<calcChain xmlns="http://schemas.openxmlformats.org/spreadsheetml/2006/main">
  <c r="G18" i="1" l="1"/>
  <c r="B19" i="1"/>
  <c r="B18" i="1"/>
  <c r="A14" i="1"/>
</calcChain>
</file>

<file path=xl/sharedStrings.xml><?xml version="1.0" encoding="utf-8"?>
<sst xmlns="http://schemas.openxmlformats.org/spreadsheetml/2006/main" count="31" uniqueCount="30">
  <si>
    <t>№ :</t>
  </si>
  <si>
    <t>Административный округ</t>
  </si>
  <si>
    <t>Дата :</t>
  </si>
  <si>
    <t>Потребитель ТЭ:</t>
  </si>
  <si>
    <t>Выставленный счет</t>
  </si>
  <si>
    <t>Оплата</t>
  </si>
  <si>
    <t>Задолженность</t>
  </si>
  <si>
    <t>Месяц, год</t>
  </si>
  <si>
    <t>Сумма</t>
  </si>
  <si>
    <t xml:space="preserve">Дата </t>
  </si>
  <si>
    <t>Дата с:</t>
  </si>
  <si>
    <t>ИТОГО ПО ДОГОВОРУ</t>
  </si>
  <si>
    <t>ОСТАВШИЙСЯ ПЕРИОД</t>
  </si>
  <si>
    <t>АВАНСЫ</t>
  </si>
  <si>
    <t>БЕ:</t>
  </si>
  <si>
    <t>Банковский
 документ</t>
  </si>
  <si>
    <t>Расчетный
 счет</t>
  </si>
  <si>
    <t>Назначение платежа</t>
  </si>
  <si>
    <t>ККС</t>
  </si>
  <si>
    <t>ИНН</t>
  </si>
  <si>
    <t>Справка о задолженности по выставленному счету с учетом
начислений по 1/12</t>
  </si>
  <si>
    <t>03.200306-ТЭ</t>
  </si>
  <si>
    <t>01.09.2008</t>
  </si>
  <si>
    <t>Жилищно-строительный кооператив "Асбест"</t>
  </si>
  <si>
    <t>01.10.2025</t>
  </si>
  <si>
    <t>СВАО - юр.лица</t>
  </si>
  <si>
    <t>05.02.2026 15:06</t>
  </si>
  <si>
    <t>Октябрь 2025 года</t>
  </si>
  <si>
    <t>Задолженность по счету 1/12 ФА</t>
  </si>
  <si>
    <t>ПАО МОЭК  Филиал №11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</si>
</sst>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mmmm\ yyyy&quot; г.&quot;"/>
  </numFmts>
  <fonts count="10" x14ac:knownFonts="1">
    <font>
      <sz val="10"/>
      <name val="Arial Cyr"/>
      <charset val="204"/>
    </font>
    <font>
      <sz val="10"/>
      <name val="Times New Roman"/>
      <family val="1"/>
      <charset val="204"/>
    </font>
    <font>
      <sz val="12"/>
      <name val="Times New Roman"/>
      <family val="1"/>
      <charset val="204"/>
    </font>
    <font>
      <b/>
      <sz val="11"/>
      <name val="Times New Roman"/>
      <family val="1"/>
      <charset val="204"/>
    </font>
    <font>
      <sz val="9"/>
      <name val="Times New Roman"/>
      <family val="1"/>
      <charset val="204"/>
    </font>
    <font>
      <sz val="14"/>
      <name val="Times New Roman"/>
      <family val="1"/>
      <charset val="204"/>
    </font>
    <font>
      <sz val="11"/>
      <name val="Times New Roman"/>
      <family val="1"/>
      <charset val="204"/>
    </font>
    <font>
      <b/>
      <sz val="12"/>
      <name val="Times New Roman"/>
      <family val="1"/>
      <charset val="204"/>
    </font>
    <font>
      <b/>
      <sz val="10"/>
      <name val="Arial Cyr"/>
      <charset val="204"/>
    </font>
    <font>
      <b/>
      <sz val="10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59">
    <xf numFmtId="0" fontId="0" fillId="0" borderId="0" xfId="0"/>
    <xf numFmtId="0" fontId="1" fillId="0" borderId="0" xfId="0" applyFont="1" applyAlignment="1"/>
    <xf numFmtId="0" fontId="1" fillId="0" borderId="0" xfId="0" applyFont="1"/>
    <xf numFmtId="22" fontId="4" fillId="0" borderId="0" xfId="0" applyNumberFormat="1" applyFont="1"/>
    <xf numFmtId="0" fontId="5" fillId="0" borderId="0" xfId="0" applyFont="1" applyAlignment="1"/>
    <xf numFmtId="0" fontId="1" fillId="0" borderId="0" xfId="0" applyFont="1" applyAlignment="1">
      <alignment horizontal="right"/>
    </xf>
    <xf numFmtId="49" fontId="3" fillId="0" borderId="0" xfId="0" applyNumberFormat="1" applyFont="1" applyBorder="1" applyAlignment="1">
      <alignment horizontal="right" vertical="justify"/>
    </xf>
    <xf numFmtId="0" fontId="3" fillId="0" borderId="0" xfId="0" applyFont="1" applyAlignment="1">
      <alignment horizontal="right" vertical="justify" wrapText="1"/>
    </xf>
    <xf numFmtId="0" fontId="6" fillId="0" borderId="0" xfId="0" applyFont="1" applyAlignment="1">
      <alignment horizontal="left" vertical="justify"/>
    </xf>
    <xf numFmtId="0" fontId="3" fillId="0" borderId="0" xfId="0" applyFont="1" applyAlignment="1">
      <alignment horizontal="right"/>
    </xf>
    <xf numFmtId="0" fontId="6" fillId="0" borderId="0" xfId="0" applyFont="1" applyAlignment="1">
      <alignment horizontal="left"/>
    </xf>
    <xf numFmtId="0" fontId="6" fillId="0" borderId="0" xfId="0" applyFont="1" applyAlignment="1">
      <alignment horizontal="left" vertical="top"/>
    </xf>
    <xf numFmtId="0" fontId="3" fillId="0" borderId="0" xfId="0" applyFont="1" applyBorder="1" applyAlignment="1">
      <alignment horizontal="right" vertical="justify" wrapText="1"/>
    </xf>
    <xf numFmtId="0" fontId="7" fillId="0" borderId="1" xfId="0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/>
    </xf>
    <xf numFmtId="0" fontId="2" fillId="0" borderId="4" xfId="0" applyFont="1" applyFill="1" applyBorder="1" applyAlignment="1">
      <alignment horizontal="center"/>
    </xf>
    <xf numFmtId="14" fontId="0" fillId="0" borderId="0" xfId="0" applyNumberFormat="1" applyBorder="1"/>
    <xf numFmtId="0" fontId="2" fillId="0" borderId="1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/>
    </xf>
    <xf numFmtId="164" fontId="3" fillId="2" borderId="5" xfId="0" applyNumberFormat="1" applyFont="1" applyFill="1" applyBorder="1" applyAlignment="1"/>
    <xf numFmtId="164" fontId="3" fillId="2" borderId="6" xfId="0" applyNumberFormat="1" applyFont="1" applyFill="1" applyBorder="1" applyAlignment="1"/>
    <xf numFmtId="0" fontId="1" fillId="0" borderId="7" xfId="0" applyFont="1" applyBorder="1" applyAlignment="1">
      <alignment horizontal="center"/>
    </xf>
    <xf numFmtId="164" fontId="1" fillId="0" borderId="8" xfId="0" applyNumberFormat="1" applyFont="1" applyBorder="1" applyAlignment="1">
      <alignment vertical="top"/>
    </xf>
    <xf numFmtId="4" fontId="1" fillId="0" borderId="9" xfId="0" applyNumberFormat="1" applyFont="1" applyBorder="1" applyAlignment="1">
      <alignment horizontal="right" vertical="top"/>
    </xf>
    <xf numFmtId="14" fontId="1" fillId="0" borderId="8" xfId="0" applyNumberFormat="1" applyFont="1" applyBorder="1" applyAlignment="1">
      <alignment horizontal="left"/>
    </xf>
    <xf numFmtId="4" fontId="1" fillId="0" borderId="8" xfId="0" applyNumberFormat="1" applyFont="1" applyBorder="1" applyAlignment="1">
      <alignment horizontal="right"/>
    </xf>
    <xf numFmtId="4" fontId="1" fillId="0" borderId="9" xfId="0" applyNumberFormat="1" applyFont="1" applyBorder="1" applyAlignment="1">
      <alignment horizontal="right"/>
    </xf>
    <xf numFmtId="0" fontId="8" fillId="0" borderId="10" xfId="0" applyFont="1" applyFill="1" applyBorder="1" applyAlignment="1"/>
    <xf numFmtId="0" fontId="8" fillId="0" borderId="11" xfId="0" applyFont="1" applyFill="1" applyBorder="1" applyAlignment="1"/>
    <xf numFmtId="0" fontId="0" fillId="0" borderId="12" xfId="0" applyFill="1" applyBorder="1"/>
    <xf numFmtId="4" fontId="1" fillId="0" borderId="2" xfId="0" applyNumberFormat="1" applyFont="1" applyBorder="1" applyAlignment="1">
      <alignment horizontal="right"/>
    </xf>
    <xf numFmtId="4" fontId="1" fillId="0" borderId="3" xfId="0" applyNumberFormat="1" applyFont="1" applyBorder="1" applyAlignment="1">
      <alignment horizontal="right"/>
    </xf>
    <xf numFmtId="0" fontId="0" fillId="0" borderId="0" xfId="0" applyAlignment="1">
      <alignment horizontal="left"/>
    </xf>
    <xf numFmtId="0" fontId="8" fillId="0" borderId="13" xfId="0" applyFont="1" applyFill="1" applyBorder="1" applyAlignment="1"/>
    <xf numFmtId="0" fontId="0" fillId="0" borderId="14" xfId="0" applyFill="1" applyBorder="1"/>
    <xf numFmtId="4" fontId="1" fillId="0" borderId="11" xfId="0" applyNumberFormat="1" applyFont="1" applyBorder="1" applyAlignment="1">
      <alignment horizontal="right"/>
    </xf>
    <xf numFmtId="49" fontId="1" fillId="0" borderId="8" xfId="0" applyNumberFormat="1" applyFont="1" applyBorder="1" applyAlignment="1">
      <alignment horizontal="center" vertical="center"/>
    </xf>
    <xf numFmtId="4" fontId="1" fillId="0" borderId="9" xfId="0" applyNumberFormat="1" applyFont="1" applyBorder="1" applyAlignment="1">
      <alignment horizontal="left" vertical="top" wrapText="1"/>
    </xf>
    <xf numFmtId="0" fontId="1" fillId="0" borderId="0" xfId="0" applyFont="1" applyAlignment="1">
      <alignment horizontal="left"/>
    </xf>
    <xf numFmtId="0" fontId="9" fillId="0" borderId="0" xfId="0" applyFont="1" applyAlignment="1">
      <alignment horizontal="right"/>
    </xf>
    <xf numFmtId="0" fontId="3" fillId="0" borderId="0" xfId="0" applyFont="1" applyAlignment="1">
      <alignment horizontal="right" vertical="top"/>
    </xf>
    <xf numFmtId="1" fontId="6" fillId="0" borderId="0" xfId="0" applyNumberFormat="1" applyFont="1" applyAlignment="1">
      <alignment horizontal="left" vertical="top"/>
    </xf>
    <xf numFmtId="4" fontId="1" fillId="0" borderId="13" xfId="0" applyNumberFormat="1" applyFont="1" applyBorder="1" applyAlignment="1">
      <alignment horizontal="right"/>
    </xf>
    <xf numFmtId="0" fontId="7" fillId="0" borderId="15" xfId="0" applyFont="1" applyFill="1" applyBorder="1" applyAlignment="1">
      <alignment horizontal="center" vertical="center"/>
    </xf>
    <xf numFmtId="0" fontId="7" fillId="0" borderId="16" xfId="0" applyFont="1" applyFill="1" applyBorder="1" applyAlignment="1">
      <alignment horizontal="center" vertical="center"/>
    </xf>
    <xf numFmtId="0" fontId="7" fillId="0" borderId="17" xfId="0" applyFont="1" applyFill="1" applyBorder="1" applyAlignment="1">
      <alignment horizontal="center" vertical="center"/>
    </xf>
    <xf numFmtId="0" fontId="7" fillId="0" borderId="18" xfId="0" applyFont="1" applyFill="1" applyBorder="1" applyAlignment="1">
      <alignment horizontal="center" vertical="center"/>
    </xf>
    <xf numFmtId="0" fontId="5" fillId="0" borderId="0" xfId="0" applyFont="1" applyAlignment="1">
      <alignment horizontal="center" wrapText="1"/>
    </xf>
    <xf numFmtId="0" fontId="5" fillId="0" borderId="0" xfId="0" applyFont="1" applyAlignment="1">
      <alignment horizontal="center"/>
    </xf>
    <xf numFmtId="49" fontId="6" fillId="0" borderId="0" xfId="0" quotePrefix="1" applyNumberFormat="1" applyFont="1" applyBorder="1" applyAlignment="1">
      <alignment horizontal="left" vertical="justify"/>
    </xf>
    <xf numFmtId="49" fontId="0" fillId="0" borderId="0" xfId="0" applyNumberFormat="1" applyAlignment="1">
      <alignment horizontal="left" vertical="justify"/>
    </xf>
    <xf numFmtId="0" fontId="6" fillId="0" borderId="0" xfId="0" applyFont="1" applyBorder="1" applyAlignment="1">
      <alignment horizontal="left" vertical="justify" wrapText="1"/>
    </xf>
    <xf numFmtId="0" fontId="0" fillId="0" borderId="0" xfId="0" applyAlignment="1">
      <alignment horizontal="left" vertical="justify" wrapText="1"/>
    </xf>
    <xf numFmtId="0" fontId="7" fillId="0" borderId="19" xfId="0" applyFont="1" applyFill="1" applyBorder="1" applyAlignment="1">
      <alignment horizontal="center" vertical="center"/>
    </xf>
    <xf numFmtId="0" fontId="7" fillId="0" borderId="20" xfId="0" applyFont="1" applyFill="1" applyBorder="1" applyAlignment="1">
      <alignment horizontal="center" vertical="center" wrapText="1"/>
    </xf>
    <xf numFmtId="0" fontId="7" fillId="0" borderId="13" xfId="0" applyFont="1" applyFill="1" applyBorder="1" applyAlignment="1">
      <alignment horizontal="center" vertical="center"/>
    </xf>
    <xf numFmtId="0" fontId="7" fillId="0" borderId="7" xfId="0" applyFont="1" applyFill="1" applyBorder="1" applyAlignment="1">
      <alignment horizontal="center" vertical="center" wrapText="1"/>
    </xf>
    <xf numFmtId="0" fontId="7" fillId="0" borderId="14" xfId="0" applyFont="1" applyFill="1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H48"/>
  <sheetViews>
    <sheetView tabSelected="1" zoomScaleNormal="100" zoomScaleSheetLayoutView="100" workbookViewId="0">
      <selection activeCell="B6" sqref="B6:C6"/>
    </sheetView>
  </sheetViews>
  <sheetFormatPr defaultRowHeight="12.75" x14ac:dyDescent="0.2"/>
  <cols>
    <col min="1" max="1" width="46" customWidth="1"/>
    <col min="2" max="2" width="17.5703125" customWidth="1"/>
    <col min="3" max="3" width="13" customWidth="1"/>
    <col min="4" max="4" width="21.140625" customWidth="1"/>
    <col min="5" max="5" width="16.85546875" customWidth="1"/>
    <col min="6" max="6" width="18.42578125" customWidth="1"/>
    <col min="7" max="7" width="19.7109375" customWidth="1"/>
    <col min="8" max="8" width="99.85546875" customWidth="1"/>
  </cols>
  <sheetData>
    <row r="1" spans="1:8" s="2" customFormat="1" x14ac:dyDescent="0.2">
      <c r="A1" s="40" t="s">
        <v>18</v>
      </c>
      <c r="B1" s="39">
        <v>3012330</v>
      </c>
      <c r="E1" s="3" t="s">
        <v>26</v>
      </c>
    </row>
    <row r="2" spans="1:8" s="2" customFormat="1" x14ac:dyDescent="0.2">
      <c r="E2" s="33"/>
    </row>
    <row r="3" spans="1:8" s="2" customFormat="1" ht="36" customHeight="1" x14ac:dyDescent="0.3">
      <c r="A3" s="48" t="s">
        <v>20</v>
      </c>
      <c r="B3" s="49"/>
      <c r="C3" s="49"/>
      <c r="D3" s="49"/>
      <c r="E3" s="49"/>
    </row>
    <row r="4" spans="1:8" s="2" customFormat="1" ht="18.75" x14ac:dyDescent="0.3">
      <c r="B4" s="49"/>
      <c r="C4" s="49"/>
      <c r="D4" s="49"/>
      <c r="E4" s="4"/>
    </row>
    <row r="5" spans="1:8" s="2" customFormat="1" ht="12" customHeight="1" x14ac:dyDescent="0.25">
      <c r="A5" s="9" t="s">
        <v>14</v>
      </c>
      <c r="B5" s="10" t="s">
        <v>29</v>
      </c>
      <c r="D5" s="5" t="s">
        <v>10</v>
      </c>
      <c r="E5" s="17" t="s">
        <v>24</v>
      </c>
    </row>
    <row r="6" spans="1:8" s="2" customFormat="1" ht="28.5" customHeight="1" x14ac:dyDescent="0.2">
      <c r="A6" s="6" t="s">
        <v>0</v>
      </c>
      <c r="B6" s="50" t="s">
        <v>21</v>
      </c>
      <c r="C6" s="51"/>
      <c r="D6" s="7" t="s">
        <v>1</v>
      </c>
      <c r="E6" s="8" t="s">
        <v>25</v>
      </c>
    </row>
    <row r="7" spans="1:8" s="2" customFormat="1" ht="15" x14ac:dyDescent="0.25">
      <c r="A7" s="9" t="s">
        <v>2</v>
      </c>
      <c r="B7" s="10" t="s">
        <v>22</v>
      </c>
      <c r="C7" s="11"/>
      <c r="D7" s="41" t="s">
        <v>19</v>
      </c>
      <c r="E7" s="42">
        <v>7715135760</v>
      </c>
    </row>
    <row r="8" spans="1:8" s="2" customFormat="1" ht="15" customHeight="1" x14ac:dyDescent="0.2">
      <c r="A8" s="12" t="s">
        <v>3</v>
      </c>
      <c r="B8" s="52" t="s">
        <v>23</v>
      </c>
      <c r="C8" s="53"/>
      <c r="D8" s="53"/>
      <c r="E8" s="53"/>
    </row>
    <row r="9" spans="1:8" s="2" customFormat="1" ht="13.5" thickBot="1" x14ac:dyDescent="0.25"/>
    <row r="10" spans="1:8" s="2" customFormat="1" ht="24" customHeight="1" x14ac:dyDescent="0.2">
      <c r="A10" s="46" t="s">
        <v>4</v>
      </c>
      <c r="B10" s="47"/>
      <c r="C10" s="54" t="s">
        <v>5</v>
      </c>
      <c r="D10" s="47"/>
      <c r="E10" s="55" t="s">
        <v>15</v>
      </c>
      <c r="F10" s="57" t="s">
        <v>16</v>
      </c>
      <c r="G10" s="44" t="s">
        <v>6</v>
      </c>
      <c r="H10" s="44" t="s">
        <v>17</v>
      </c>
    </row>
    <row r="11" spans="1:8" s="2" customFormat="1" ht="15.75" x14ac:dyDescent="0.2">
      <c r="A11" s="13" t="s">
        <v>7</v>
      </c>
      <c r="B11" s="14" t="s">
        <v>8</v>
      </c>
      <c r="C11" s="14" t="s">
        <v>9</v>
      </c>
      <c r="D11" s="14" t="s">
        <v>8</v>
      </c>
      <c r="E11" s="56"/>
      <c r="F11" s="58"/>
      <c r="G11" s="45"/>
      <c r="H11" s="45"/>
    </row>
    <row r="12" spans="1:8" s="2" customFormat="1" ht="16.5" thickBot="1" x14ac:dyDescent="0.3">
      <c r="A12" s="18">
        <v>1</v>
      </c>
      <c r="B12" s="19">
        <v>2</v>
      </c>
      <c r="C12" s="15">
        <v>3</v>
      </c>
      <c r="D12" s="15">
        <v>4</v>
      </c>
      <c r="E12" s="15">
        <v>5</v>
      </c>
      <c r="F12" s="15">
        <v>6</v>
      </c>
      <c r="G12" s="16">
        <v>7</v>
      </c>
      <c r="H12" s="16">
        <v>8</v>
      </c>
    </row>
    <row r="13" spans="1:8" s="2" customFormat="1" ht="17.25" customHeight="1" x14ac:dyDescent="0.2">
      <c r="A13" s="20" t="s">
        <v>27</v>
      </c>
      <c r="B13" s="21"/>
      <c r="C13" s="22"/>
      <c r="D13" s="22"/>
      <c r="E13" s="22"/>
      <c r="F13" s="22"/>
      <c r="G13" s="22"/>
      <c r="H13" s="22"/>
    </row>
    <row r="14" spans="1:8" s="1" customFormat="1" ht="12.75" customHeight="1" x14ac:dyDescent="0.2">
      <c r="A14" s="23" t="str">
        <f>"10.2025"</f>
        <v>10.2025</v>
      </c>
      <c r="B14" s="24">
        <v>318284.81</v>
      </c>
      <c r="C14" s="25"/>
      <c r="D14" s="26"/>
      <c r="E14" s="37"/>
      <c r="F14" s="37"/>
      <c r="G14" s="27"/>
      <c r="H14" s="38" t="s">
        <v>28</v>
      </c>
    </row>
    <row r="15" spans="1:8" s="1" customFormat="1" ht="12.75" customHeight="1" x14ac:dyDescent="0.2">
      <c r="A15" s="23"/>
      <c r="B15" s="24"/>
      <c r="C15" s="25"/>
      <c r="D15" s="26"/>
      <c r="E15" s="37"/>
      <c r="F15" s="37"/>
      <c r="G15" s="27">
        <v>318284.81</v>
      </c>
      <c r="H15" s="38"/>
    </row>
    <row r="16" spans="1:8" s="1" customFormat="1" ht="16.5" customHeight="1" thickBot="1" x14ac:dyDescent="0.25">
      <c r="A16" s="28"/>
      <c r="B16" s="31">
        <v>318284.81</v>
      </c>
      <c r="C16" s="29"/>
      <c r="D16" s="32">
        <v>0</v>
      </c>
      <c r="E16" s="29"/>
      <c r="F16" s="36"/>
      <c r="G16" s="30"/>
      <c r="H16" s="30"/>
    </row>
    <row r="17" spans="1:8" s="1" customFormat="1" ht="17.25" customHeight="1" x14ac:dyDescent="0.2">
      <c r="A17" s="20" t="s">
        <v>11</v>
      </c>
      <c r="B17" s="21"/>
      <c r="C17" s="22"/>
      <c r="D17" s="22"/>
      <c r="E17" s="22"/>
      <c r="F17" s="22"/>
      <c r="G17" s="22"/>
      <c r="H17" s="22"/>
    </row>
    <row r="18" spans="1:8" s="1" customFormat="1" x14ac:dyDescent="0.2">
      <c r="A18" s="23"/>
      <c r="B18" s="24">
        <f>B16</f>
        <v>318284.81</v>
      </c>
      <c r="C18" s="25"/>
      <c r="D18" s="26">
        <v>0</v>
      </c>
      <c r="E18" s="25"/>
      <c r="F18" s="26"/>
      <c r="G18" s="27">
        <f>G15</f>
        <v>318284.81</v>
      </c>
      <c r="H18" s="27"/>
    </row>
    <row r="19" spans="1:8" s="1" customFormat="1" ht="16.5" customHeight="1" thickBot="1" x14ac:dyDescent="0.25">
      <c r="A19" s="28"/>
      <c r="B19" s="31">
        <f>B18</f>
        <v>318284.81</v>
      </c>
      <c r="C19" s="29"/>
      <c r="D19" s="32">
        <v>0</v>
      </c>
      <c r="E19" s="29"/>
      <c r="F19" s="36"/>
      <c r="G19" s="30"/>
      <c r="H19" s="30"/>
    </row>
    <row r="20" spans="1:8" s="2" customFormat="1" ht="17.25" customHeight="1" x14ac:dyDescent="0.2">
      <c r="A20" s="20" t="s">
        <v>13</v>
      </c>
      <c r="B20" s="21"/>
      <c r="C20" s="22"/>
      <c r="D20" s="22"/>
      <c r="E20" s="22"/>
      <c r="F20" s="22"/>
      <c r="G20" s="22"/>
      <c r="H20" s="22"/>
    </row>
    <row r="21" spans="1:8" s="1" customFormat="1" ht="12.75" customHeight="1" x14ac:dyDescent="0.2">
      <c r="A21" s="23"/>
      <c r="B21" s="24"/>
      <c r="C21" s="25"/>
      <c r="D21" s="26"/>
      <c r="E21" s="25"/>
      <c r="F21" s="26"/>
      <c r="G21" s="27">
        <v>0</v>
      </c>
      <c r="H21" s="27"/>
    </row>
    <row r="22" spans="1:8" s="1" customFormat="1" ht="13.5" thickBot="1" x14ac:dyDescent="0.25">
      <c r="A22" s="28"/>
      <c r="B22" s="31">
        <v>0</v>
      </c>
      <c r="C22" s="29"/>
      <c r="D22" s="32">
        <v>0</v>
      </c>
      <c r="E22" s="29"/>
      <c r="F22" s="36"/>
      <c r="G22" s="30"/>
      <c r="H22" s="30"/>
    </row>
    <row r="23" spans="1:8" s="1" customFormat="1" ht="17.25" customHeight="1" x14ac:dyDescent="0.2">
      <c r="A23" s="20" t="s">
        <v>12</v>
      </c>
      <c r="B23" s="21"/>
      <c r="C23" s="22"/>
      <c r="D23" s="22"/>
      <c r="E23" s="22"/>
      <c r="F23" s="22"/>
      <c r="G23" s="22"/>
      <c r="H23" s="22"/>
    </row>
    <row r="24" spans="1:8" s="1" customFormat="1" ht="12.75" customHeight="1" x14ac:dyDescent="0.2">
      <c r="A24" s="23"/>
      <c r="B24" s="24"/>
      <c r="C24" s="25"/>
      <c r="D24" s="26">
        <v>0</v>
      </c>
      <c r="E24" s="25"/>
      <c r="F24" s="26"/>
      <c r="G24" s="27">
        <v>21137.75</v>
      </c>
      <c r="H24" s="27"/>
    </row>
    <row r="25" spans="1:8" s="1" customFormat="1" ht="12.75" customHeight="1" x14ac:dyDescent="0.2">
      <c r="A25" s="23"/>
      <c r="B25" s="24"/>
      <c r="C25" s="25"/>
      <c r="D25" s="26">
        <v>0</v>
      </c>
      <c r="E25" s="25"/>
      <c r="F25" s="26"/>
      <c r="G25" s="27">
        <v>176177.91</v>
      </c>
      <c r="H25" s="27"/>
    </row>
    <row r="26" spans="1:8" s="1" customFormat="1" ht="12.75" customHeight="1" x14ac:dyDescent="0.2">
      <c r="A26" s="23"/>
      <c r="B26" s="24"/>
      <c r="C26" s="25"/>
      <c r="D26" s="26">
        <v>0</v>
      </c>
      <c r="E26" s="25"/>
      <c r="F26" s="26"/>
      <c r="G26" s="27">
        <v>142106.9</v>
      </c>
      <c r="H26" s="27"/>
    </row>
    <row r="27" spans="1:8" s="1" customFormat="1" ht="12.75" customHeight="1" x14ac:dyDescent="0.2">
      <c r="A27" s="23"/>
      <c r="B27" s="24"/>
      <c r="C27" s="25"/>
      <c r="D27" s="26">
        <v>0</v>
      </c>
      <c r="E27" s="25"/>
      <c r="F27" s="26"/>
      <c r="G27" s="27">
        <v>273898.90000000002</v>
      </c>
      <c r="H27" s="27"/>
    </row>
    <row r="28" spans="1:8" s="1" customFormat="1" ht="12.75" customHeight="1" x14ac:dyDescent="0.2">
      <c r="A28" s="23"/>
      <c r="B28" s="24"/>
      <c r="C28" s="25"/>
      <c r="D28" s="26">
        <v>0</v>
      </c>
      <c r="E28" s="25"/>
      <c r="F28" s="26"/>
      <c r="G28" s="27">
        <v>44385.91</v>
      </c>
      <c r="H28" s="27"/>
    </row>
    <row r="29" spans="1:8" s="1" customFormat="1" ht="12.75" customHeight="1" x14ac:dyDescent="0.2">
      <c r="A29" s="23"/>
      <c r="B29" s="24"/>
      <c r="C29" s="25"/>
      <c r="D29" s="26">
        <v>0</v>
      </c>
      <c r="E29" s="25"/>
      <c r="F29" s="26"/>
      <c r="G29" s="27">
        <v>19790.689999999999</v>
      </c>
      <c r="H29" s="27"/>
    </row>
    <row r="30" spans="1:8" s="1" customFormat="1" ht="12.75" customHeight="1" x14ac:dyDescent="0.2">
      <c r="A30" s="23"/>
      <c r="B30" s="24"/>
      <c r="C30" s="25"/>
      <c r="D30" s="26">
        <v>0</v>
      </c>
      <c r="E30" s="25"/>
      <c r="F30" s="26"/>
      <c r="G30" s="27">
        <v>66853.2</v>
      </c>
      <c r="H30" s="27"/>
    </row>
    <row r="31" spans="1:8" s="1" customFormat="1" ht="12.75" customHeight="1" x14ac:dyDescent="0.2">
      <c r="A31" s="23"/>
      <c r="B31" s="24"/>
      <c r="C31" s="25"/>
      <c r="D31" s="26">
        <v>0</v>
      </c>
      <c r="E31" s="25"/>
      <c r="F31" s="26"/>
      <c r="G31" s="27">
        <v>231640.92</v>
      </c>
      <c r="H31" s="27"/>
    </row>
    <row r="32" spans="1:8" s="1" customFormat="1" ht="12.75" customHeight="1" x14ac:dyDescent="0.2">
      <c r="A32" s="23"/>
      <c r="B32" s="24"/>
      <c r="C32" s="25"/>
      <c r="D32" s="26">
        <v>0</v>
      </c>
      <c r="E32" s="25"/>
      <c r="F32" s="26"/>
      <c r="G32" s="27">
        <v>100170.4</v>
      </c>
      <c r="H32" s="27"/>
    </row>
    <row r="33" spans="1:8" s="1" customFormat="1" ht="12.75" customHeight="1" x14ac:dyDescent="0.2">
      <c r="A33" s="23"/>
      <c r="B33" s="24"/>
      <c r="C33" s="25"/>
      <c r="D33" s="26">
        <v>0</v>
      </c>
      <c r="E33" s="25"/>
      <c r="F33" s="26"/>
      <c r="G33" s="27">
        <v>173741.14</v>
      </c>
      <c r="H33" s="27"/>
    </row>
    <row r="34" spans="1:8" s="1" customFormat="1" ht="12.75" customHeight="1" x14ac:dyDescent="0.2">
      <c r="A34" s="23"/>
      <c r="B34" s="24"/>
      <c r="C34" s="25"/>
      <c r="D34" s="26">
        <v>0</v>
      </c>
      <c r="E34" s="25"/>
      <c r="F34" s="26"/>
      <c r="G34" s="27">
        <v>273911.53999999998</v>
      </c>
      <c r="H34" s="27"/>
    </row>
    <row r="35" spans="1:8" s="1" customFormat="1" ht="12.75" customHeight="1" x14ac:dyDescent="0.2">
      <c r="A35" s="23"/>
      <c r="B35" s="24"/>
      <c r="C35" s="25"/>
      <c r="D35" s="26">
        <v>0</v>
      </c>
      <c r="E35" s="25"/>
      <c r="F35" s="26"/>
      <c r="G35" s="27">
        <v>273911.53999999998</v>
      </c>
      <c r="H35" s="27"/>
    </row>
    <row r="36" spans="1:8" s="1" customFormat="1" ht="12.75" customHeight="1" x14ac:dyDescent="0.2">
      <c r="A36" s="23"/>
      <c r="B36" s="24"/>
      <c r="C36" s="25"/>
      <c r="D36" s="26">
        <v>0</v>
      </c>
      <c r="E36" s="25"/>
      <c r="F36" s="26"/>
      <c r="G36" s="27">
        <v>21137.68</v>
      </c>
      <c r="H36" s="27"/>
    </row>
    <row r="37" spans="1:8" s="1" customFormat="1" ht="12.75" customHeight="1" x14ac:dyDescent="0.2">
      <c r="A37" s="23"/>
      <c r="B37" s="24"/>
      <c r="C37" s="25"/>
      <c r="D37" s="26">
        <v>0</v>
      </c>
      <c r="E37" s="25"/>
      <c r="F37" s="26"/>
      <c r="G37" s="27">
        <v>21137.75</v>
      </c>
      <c r="H37" s="27"/>
    </row>
    <row r="38" spans="1:8" s="1" customFormat="1" ht="12.75" customHeight="1" x14ac:dyDescent="0.2">
      <c r="A38" s="23"/>
      <c r="B38" s="24"/>
      <c r="C38" s="25"/>
      <c r="D38" s="26">
        <v>0</v>
      </c>
      <c r="E38" s="25"/>
      <c r="F38" s="26"/>
      <c r="G38" s="27">
        <v>21137.75</v>
      </c>
      <c r="H38" s="27"/>
    </row>
    <row r="39" spans="1:8" s="1" customFormat="1" ht="12.75" customHeight="1" x14ac:dyDescent="0.2">
      <c r="A39" s="23"/>
      <c r="B39" s="24"/>
      <c r="C39" s="25"/>
      <c r="D39" s="26">
        <v>0</v>
      </c>
      <c r="E39" s="25"/>
      <c r="F39" s="26"/>
      <c r="G39" s="27">
        <v>21137.75</v>
      </c>
      <c r="H39" s="27"/>
    </row>
    <row r="40" spans="1:8" s="1" customFormat="1" ht="12.75" customHeight="1" x14ac:dyDescent="0.2">
      <c r="A40" s="23"/>
      <c r="B40" s="24"/>
      <c r="C40" s="25"/>
      <c r="D40" s="26">
        <v>0</v>
      </c>
      <c r="E40" s="25"/>
      <c r="F40" s="26"/>
      <c r="G40" s="27">
        <v>21137.75</v>
      </c>
      <c r="H40" s="27"/>
    </row>
    <row r="41" spans="1:8" s="1" customFormat="1" ht="12.75" customHeight="1" x14ac:dyDescent="0.2">
      <c r="A41" s="23"/>
      <c r="B41" s="24"/>
      <c r="C41" s="25"/>
      <c r="D41" s="26">
        <v>0</v>
      </c>
      <c r="E41" s="25"/>
      <c r="F41" s="26"/>
      <c r="G41" s="27">
        <v>21137.75</v>
      </c>
      <c r="H41" s="27"/>
    </row>
    <row r="42" spans="1:8" s="1" customFormat="1" ht="12.75" customHeight="1" x14ac:dyDescent="0.2">
      <c r="A42" s="23"/>
      <c r="B42" s="24"/>
      <c r="C42" s="25"/>
      <c r="D42" s="26">
        <v>0</v>
      </c>
      <c r="E42" s="25"/>
      <c r="F42" s="26"/>
      <c r="G42" s="27">
        <v>21137.75</v>
      </c>
      <c r="H42" s="27"/>
    </row>
    <row r="43" spans="1:8" s="1" customFormat="1" ht="12.75" customHeight="1" x14ac:dyDescent="0.2">
      <c r="A43" s="23"/>
      <c r="B43" s="24"/>
      <c r="C43" s="25"/>
      <c r="D43" s="26">
        <v>0</v>
      </c>
      <c r="E43" s="25"/>
      <c r="F43" s="26"/>
      <c r="G43" s="27">
        <v>21137.75</v>
      </c>
      <c r="H43" s="27"/>
    </row>
    <row r="44" spans="1:8" s="1" customFormat="1" ht="12.75" customHeight="1" x14ac:dyDescent="0.2">
      <c r="A44" s="23"/>
      <c r="B44" s="24"/>
      <c r="C44" s="25"/>
      <c r="D44" s="26">
        <v>0</v>
      </c>
      <c r="E44" s="25"/>
      <c r="F44" s="26"/>
      <c r="G44" s="27">
        <v>21137.75</v>
      </c>
      <c r="H44" s="27"/>
    </row>
    <row r="45" spans="1:8" s="1" customFormat="1" ht="12.75" customHeight="1" x14ac:dyDescent="0.2">
      <c r="A45" s="23"/>
      <c r="B45" s="24"/>
      <c r="C45" s="25"/>
      <c r="D45" s="26">
        <v>0</v>
      </c>
      <c r="E45" s="25"/>
      <c r="F45" s="26"/>
      <c r="G45" s="27">
        <v>21137.75</v>
      </c>
      <c r="H45" s="27"/>
    </row>
    <row r="46" spans="1:8" s="1" customFormat="1" ht="12.75" customHeight="1" x14ac:dyDescent="0.2">
      <c r="A46" s="23"/>
      <c r="B46" s="24"/>
      <c r="C46" s="25"/>
      <c r="D46" s="26">
        <v>0</v>
      </c>
      <c r="E46" s="25"/>
      <c r="F46" s="26"/>
      <c r="G46" s="27">
        <v>21137.75</v>
      </c>
      <c r="H46" s="27"/>
    </row>
    <row r="47" spans="1:8" s="2" customFormat="1" ht="13.5" customHeight="1" thickBot="1" x14ac:dyDescent="0.25">
      <c r="A47" s="28"/>
      <c r="B47" s="31"/>
      <c r="C47" s="34"/>
      <c r="D47" s="32"/>
      <c r="E47" s="34"/>
      <c r="F47" s="43"/>
      <c r="G47" s="32">
        <v>2030241.98</v>
      </c>
      <c r="H47" s="35"/>
    </row>
    <row r="48" spans="1:8" s="1" customFormat="1" x14ac:dyDescent="0.2"/>
  </sheetData>
  <mergeCells count="10">
    <mergeCell ref="H10:H11"/>
    <mergeCell ref="A10:B10"/>
    <mergeCell ref="G10:G11"/>
    <mergeCell ref="A3:E3"/>
    <mergeCell ref="B4:D4"/>
    <mergeCell ref="B6:C6"/>
    <mergeCell ref="B8:E8"/>
    <mergeCell ref="C10:D10"/>
    <mergeCell ref="E10:E11"/>
    <mergeCell ref="F10:F11"/>
  </mergeCells>
  <phoneticPr fontId="0" type="noConversion"/>
  <pageMargins left="0.78740157480314965" right="0.24000000000000002" top="0.46000000000000008" bottom="0.74803149606299213" header="0.41" footer="0.51181102362204722"/>
  <pageSetup paperSize="9" orientation="portrait" r:id="rId1"/>
  <headerFooter alignWithMargins="0">
    <oddFooter>&amp;C&amp;P&amp;R&amp;D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11</vt:i4>
      </vt:variant>
    </vt:vector>
  </HeadingPairs>
  <TitlesOfParts>
    <vt:vector size="12" baseType="lpstr">
      <vt:lpstr>Лист1</vt:lpstr>
      <vt:lpstr>dolya</vt:lpstr>
      <vt:lpstr>z</vt:lpstr>
      <vt:lpstr>ДогИтог</vt:lpstr>
      <vt:lpstr>ДокЗаголовок2</vt:lpstr>
      <vt:lpstr>ДокСтрока</vt:lpstr>
      <vt:lpstr>ДокСтрока2</vt:lpstr>
      <vt:lpstr>ДокСтрока3</vt:lpstr>
      <vt:lpstr>Лист1!Заголовки_для_печати</vt:lpstr>
      <vt:lpstr>ИтогСтрока</vt:lpstr>
      <vt:lpstr>ИтогСтрока2</vt:lpstr>
      <vt:lpstr>Шапка</vt:lpstr>
    </vt:vector>
  </TitlesOfParts>
  <Company>Universe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zenina_n_n</dc:creator>
  <cp:lastModifiedBy>Николаева Евгения Константиновна</cp:lastModifiedBy>
  <cp:lastPrinted>2008-09-24T13:05:01Z</cp:lastPrinted>
  <dcterms:created xsi:type="dcterms:W3CDTF">2008-09-22T07:48:24Z</dcterms:created>
  <dcterms:modified xsi:type="dcterms:W3CDTF">2026-02-05T12:07:19Z</dcterms:modified>
</cp:coreProperties>
</file>