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Savina_YU_N\Desktop\ЗАПРОСЫ\15.07.2026\"/>
    </mc:Choice>
  </mc:AlternateContent>
  <bookViews>
    <workbookView xWindow="10116" yWindow="4536" windowWidth="14892" windowHeight="9492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Лист1!$A$203</definedName>
    <definedName name="z">Лист1!$A$1</definedName>
    <definedName name="ДогИтог">Лист1!$25:$25</definedName>
    <definedName name="ДокЗаголовок1">Лист1!#REF!</definedName>
    <definedName name="ДокЗаголовок2">Лист1!$28:$28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Лист1!$29:$29</definedName>
    <definedName name="ДокСтрока3">Лист1!$32:$32</definedName>
    <definedName name="_xlnm.Print_Titles" localSheetId="0">Лист1!$12:$12</definedName>
    <definedName name="ИтогСтрока">Лист1!$26:$26</definedName>
    <definedName name="ИтогСтрока2">Лист1!$27:$27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22" i="1" l="1"/>
  <c r="A18" i="1"/>
  <c r="A14" i="1"/>
</calcChain>
</file>

<file path=xl/sharedStrings.xml><?xml version="1.0" encoding="utf-8"?>
<sst xmlns="http://schemas.openxmlformats.org/spreadsheetml/2006/main" count="35" uniqueCount="32">
  <si>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</si>
  <si>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</si>
  <si>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</si>
  <si>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</si>
  <si>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</si>
  <si>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</si>
  <si>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</si>
  <si>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</si>
  <si>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</si>
  <si>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</si>
  <si>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</si>
  <si>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</si>
  <si>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</si>
  <si>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</si>
  <si>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</si>
  <si>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</si>
  <si>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</si>
  <si>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</si>
  <si>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</si>
  <si>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</si>
  <si>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</si>
  <si>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224-13/01-19-ФОТЭ</t>
  </si>
  <si>
    <t>01.08.2019</t>
  </si>
  <si>
    <t>ТОВАРИЩЕСТВО СОБСТВЕННИКОВ НЕДВИЖИМОСТИ "ЗЕМЛЯНОЙ ВАЛ 39"</t>
  </si>
  <si>
    <t>01.01.2026</t>
  </si>
  <si>
    <t>ЦАО - юр.лица</t>
  </si>
  <si>
    <t>15.07.2026 14:20</t>
  </si>
  <si>
    <t>Январь 2026 года</t>
  </si>
  <si>
    <t>Задолженность по счету 1/12 ФФ</t>
  </si>
  <si>
    <t>Февраль 2026 года</t>
  </si>
  <si>
    <t>Март 2026 года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</si>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</sst>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Fill="1" applyBorder="1" applyAlignment="1"/>
    <xf numFmtId="0" fontId="0" fillId="0" borderId="14" xfId="0" applyFill="1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200"/>
  <sheetViews>
    <sheetView tabSelected="1" zoomScaleNormal="100" zoomScaleSheetLayoutView="100" workbookViewId="0"/>
  </sheetViews>
  <sheetFormatPr defaultRowHeight="13.2" x14ac:dyDescent="0.25"/>
  <cols>
    <col min="1" max="1" width="46" customWidth="1"/>
    <col min="2" max="2" width="17.5546875" customWidth="1"/>
    <col min="3" max="3" width="13" customWidth="1"/>
    <col min="4" max="4" width="21.109375" customWidth="1"/>
    <col min="5" max="5" width="16.88671875" customWidth="1"/>
    <col min="6" max="6" width="18.44140625" customWidth="1"/>
    <col min="7" max="7" width="19.6640625" customWidth="1"/>
    <col min="8" max="8" width="99.88671875" customWidth="1"/>
  </cols>
  <sheetData>
    <row r="1" spans="1:8" s="2" customFormat="1" x14ac:dyDescent="0.25">
      <c r="A1" s="40" t="s">
        <v>18</v>
      </c>
      <c r="B1" s="39">
        <v>1073526</v>
      </c>
      <c r="E1" s="3" t="s">
        <v>26</v>
      </c>
    </row>
    <row r="2" spans="1:8" s="2" customFormat="1" x14ac:dyDescent="0.25">
      <c r="E2" s="33"/>
    </row>
    <row r="3" spans="1:8" s="2" customFormat="1" ht="36" customHeight="1" x14ac:dyDescent="0.35">
      <c r="A3" s="48" t="s">
        <v>20</v>
      </c>
      <c r="B3" s="49"/>
      <c r="C3" s="49"/>
      <c r="D3" s="49"/>
      <c r="E3" s="49"/>
    </row>
    <row r="4" spans="1:8" s="2" customFormat="1" ht="18" x14ac:dyDescent="0.35">
      <c r="B4" s="49"/>
      <c r="C4" s="49"/>
      <c r="D4" s="49"/>
      <c r="E4" s="4"/>
    </row>
    <row r="5" spans="1:8" s="2" customFormat="1" ht="12" customHeight="1" x14ac:dyDescent="0.25">
      <c r="A5" s="9" t="s">
        <v>14</v>
      </c>
      <c r="B5" s="10" t="s">
        <v>31</v>
      </c>
      <c r="D5" s="5" t="s">
        <v>10</v>
      </c>
      <c r="E5" s="17" t="s">
        <v>24</v>
      </c>
    </row>
    <row r="6" spans="1:8" s="2" customFormat="1" ht="28.5" customHeight="1" x14ac:dyDescent="0.25">
      <c r="A6" s="6" t="s">
        <v>0</v>
      </c>
      <c r="B6" s="50" t="s">
        <v>21</v>
      </c>
      <c r="C6" s="51"/>
      <c r="D6" s="7" t="s">
        <v>1</v>
      </c>
      <c r="E6" s="8" t="s">
        <v>25</v>
      </c>
    </row>
    <row r="7" spans="1:8" s="2" customFormat="1" ht="13.8" x14ac:dyDescent="0.25">
      <c r="A7" s="9" t="s">
        <v>2</v>
      </c>
      <c r="B7" s="10" t="s">
        <v>22</v>
      </c>
      <c r="C7" s="11"/>
      <c r="D7" s="41" t="s">
        <v>19</v>
      </c>
      <c r="E7" s="42">
        <v>9709046481</v>
      </c>
    </row>
    <row r="8" spans="1:8" s="2" customFormat="1" ht="27.6" customHeight="1" x14ac:dyDescent="0.25">
      <c r="A8" s="12" t="s">
        <v>3</v>
      </c>
      <c r="B8" s="52" t="s">
        <v>23</v>
      </c>
      <c r="C8" s="53"/>
      <c r="D8" s="53"/>
      <c r="E8" s="53"/>
    </row>
    <row r="9" spans="1:8" s="2" customFormat="1" ht="13.8" thickBot="1" x14ac:dyDescent="0.3"/>
    <row r="10" spans="1:8" s="2" customFormat="1" ht="24" customHeight="1" x14ac:dyDescent="0.25">
      <c r="A10" s="46" t="s">
        <v>4</v>
      </c>
      <c r="B10" s="47"/>
      <c r="C10" s="54" t="s">
        <v>5</v>
      </c>
      <c r="D10" s="47"/>
      <c r="E10" s="55" t="s">
        <v>15</v>
      </c>
      <c r="F10" s="57" t="s">
        <v>16</v>
      </c>
      <c r="G10" s="44" t="s">
        <v>6</v>
      </c>
      <c r="H10" s="44" t="s">
        <v>17</v>
      </c>
    </row>
    <row r="11" spans="1:8" s="2" customFormat="1" ht="15.6" x14ac:dyDescent="0.25">
      <c r="A11" s="13" t="s">
        <v>7</v>
      </c>
      <c r="B11" s="14" t="s">
        <v>8</v>
      </c>
      <c r="C11" s="14" t="s">
        <v>9</v>
      </c>
      <c r="D11" s="14" t="s">
        <v>8</v>
      </c>
      <c r="E11" s="56"/>
      <c r="F11" s="58"/>
      <c r="G11" s="45"/>
      <c r="H11" s="45"/>
    </row>
    <row r="12" spans="1:8" s="2" customFormat="1" ht="16.2" thickBot="1" x14ac:dyDescent="0.35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5">
      <c r="A13" s="20" t="s">
        <v>27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5">
      <c r="A14" s="23" t="str">
        <f>"01.2026"</f>
        <v>01.2026</v>
      </c>
      <c r="B14" s="24">
        <v>347024.89</v>
      </c>
      <c r="C14" s="25"/>
      <c r="D14" s="26"/>
      <c r="E14" s="37"/>
      <c r="F14" s="37"/>
      <c r="G14" s="27"/>
      <c r="H14" s="38" t="s">
        <v>28</v>
      </c>
    </row>
    <row r="15" spans="1:8" s="1" customFormat="1" ht="12.75" customHeight="1" x14ac:dyDescent="0.25">
      <c r="A15" s="23"/>
      <c r="B15" s="24"/>
      <c r="C15" s="25"/>
      <c r="D15" s="26"/>
      <c r="E15" s="37"/>
      <c r="F15" s="37"/>
      <c r="G15" s="27">
        <v>347024.89</v>
      </c>
      <c r="H15" s="38"/>
    </row>
    <row r="16" spans="1:8" s="1" customFormat="1" ht="16.5" customHeight="1" thickBot="1" x14ac:dyDescent="0.3">
      <c r="A16" s="28"/>
      <c r="B16" s="31">
        <v>347024.89</v>
      </c>
      <c r="C16" s="29"/>
      <c r="D16" s="32">
        <v>0</v>
      </c>
      <c r="E16" s="29"/>
      <c r="F16" s="36"/>
      <c r="G16" s="30"/>
      <c r="H16" s="30"/>
    </row>
    <row r="17" spans="1:8" s="2" customFormat="1" ht="17.25" customHeight="1" x14ac:dyDescent="0.25">
      <c r="A17" s="20" t="s">
        <v>29</v>
      </c>
      <c r="B17" s="21"/>
      <c r="C17" s="22"/>
      <c r="D17" s="22"/>
      <c r="E17" s="22"/>
      <c r="F17" s="22"/>
      <c r="G17" s="22"/>
      <c r="H17" s="22"/>
    </row>
    <row r="18" spans="1:8" s="1" customFormat="1" ht="12.75" customHeight="1" x14ac:dyDescent="0.25">
      <c r="A18" s="23" t="str">
        <f>"02.2026"</f>
        <v>02.2026</v>
      </c>
      <c r="B18" s="24">
        <v>349114.47</v>
      </c>
      <c r="C18" s="25"/>
      <c r="D18" s="26"/>
      <c r="E18" s="37"/>
      <c r="F18" s="37"/>
      <c r="G18" s="27"/>
      <c r="H18" s="38" t="s">
        <v>28</v>
      </c>
    </row>
    <row r="19" spans="1:8" s="1" customFormat="1" ht="12.75" customHeight="1" x14ac:dyDescent="0.25">
      <c r="A19" s="23"/>
      <c r="B19" s="24"/>
      <c r="C19" s="25"/>
      <c r="D19" s="26"/>
      <c r="E19" s="37"/>
      <c r="F19" s="37"/>
      <c r="G19" s="27">
        <v>349114.47</v>
      </c>
      <c r="H19" s="38"/>
    </row>
    <row r="20" spans="1:8" s="1" customFormat="1" ht="16.5" customHeight="1" thickBot="1" x14ac:dyDescent="0.3">
      <c r="A20" s="28"/>
      <c r="B20" s="31">
        <v>349114.47</v>
      </c>
      <c r="C20" s="29"/>
      <c r="D20" s="32">
        <v>0</v>
      </c>
      <c r="E20" s="29"/>
      <c r="F20" s="36"/>
      <c r="G20" s="30"/>
      <c r="H20" s="30"/>
    </row>
    <row r="21" spans="1:8" s="2" customFormat="1" ht="17.25" customHeight="1" x14ac:dyDescent="0.25">
      <c r="A21" s="20" t="s">
        <v>30</v>
      </c>
      <c r="B21" s="21"/>
      <c r="C21" s="22"/>
      <c r="D21" s="22"/>
      <c r="E21" s="22"/>
      <c r="F21" s="22"/>
      <c r="G21" s="22"/>
      <c r="H21" s="22"/>
    </row>
    <row r="22" spans="1:8" s="1" customFormat="1" ht="12.75" customHeight="1" x14ac:dyDescent="0.25">
      <c r="A22" s="23" t="str">
        <f>"03.2026"</f>
        <v>03.2026</v>
      </c>
      <c r="B22" s="24">
        <v>357800.98</v>
      </c>
      <c r="C22" s="25"/>
      <c r="D22" s="26"/>
      <c r="E22" s="37"/>
      <c r="F22" s="37"/>
      <c r="G22" s="27"/>
      <c r="H22" s="38" t="s">
        <v>28</v>
      </c>
    </row>
    <row r="23" spans="1:8" s="1" customFormat="1" ht="12.75" customHeight="1" x14ac:dyDescent="0.25">
      <c r="A23" s="23"/>
      <c r="B23" s="24"/>
      <c r="C23" s="25"/>
      <c r="D23" s="26"/>
      <c r="E23" s="37"/>
      <c r="F23" s="37"/>
      <c r="G23" s="27">
        <v>357800.98</v>
      </c>
      <c r="H23" s="38"/>
    </row>
    <row r="24" spans="1:8" s="1" customFormat="1" ht="16.5" customHeight="1" thickBot="1" x14ac:dyDescent="0.3">
      <c r="A24" s="28"/>
      <c r="B24" s="31">
        <v>357800.98</v>
      </c>
      <c r="C24" s="29"/>
      <c r="D24" s="32">
        <v>0</v>
      </c>
      <c r="E24" s="29"/>
      <c r="F24" s="36"/>
      <c r="G24" s="30"/>
      <c r="H24" s="30"/>
    </row>
    <row r="25" spans="1:8" s="1" customFormat="1" ht="17.25" customHeight="1" x14ac:dyDescent="0.25">
      <c r="A25" s="20" t="s">
        <v>11</v>
      </c>
      <c r="B25" s="21"/>
      <c r="C25" s="22"/>
      <c r="D25" s="22"/>
      <c r="E25" s="22"/>
      <c r="F25" s="22"/>
      <c r="G25" s="22"/>
      <c r="H25" s="22"/>
    </row>
    <row r="26" spans="1:8" s="1" customFormat="1" x14ac:dyDescent="0.25">
      <c r="A26" s="23"/>
      <c r="B26" s="24">
        <v>1053940.3400000001</v>
      </c>
      <c r="C26" s="25"/>
      <c r="D26" s="26">
        <v>0</v>
      </c>
      <c r="E26" s="25"/>
      <c r="F26" s="26"/>
      <c r="G26" s="27">
        <v>1053940.3400000001</v>
      </c>
      <c r="H26" s="27"/>
    </row>
    <row r="27" spans="1:8" s="1" customFormat="1" ht="16.5" customHeight="1" thickBot="1" x14ac:dyDescent="0.3">
      <c r="A27" s="28"/>
      <c r="B27" s="31">
        <v>1053940.3400000001</v>
      </c>
      <c r="C27" s="29"/>
      <c r="D27" s="32">
        <v>0</v>
      </c>
      <c r="E27" s="29"/>
      <c r="F27" s="36"/>
      <c r="G27" s="30"/>
      <c r="H27" s="30"/>
    </row>
    <row r="28" spans="1:8" s="2" customFormat="1" ht="17.25" customHeight="1" x14ac:dyDescent="0.25">
      <c r="A28" s="20" t="s">
        <v>13</v>
      </c>
      <c r="B28" s="21"/>
      <c r="C28" s="22"/>
      <c r="D28" s="22"/>
      <c r="E28" s="22"/>
      <c r="F28" s="22"/>
      <c r="G28" s="22"/>
      <c r="H28" s="22"/>
    </row>
    <row r="29" spans="1:8" s="1" customFormat="1" ht="12.75" customHeight="1" x14ac:dyDescent="0.25">
      <c r="A29" s="23"/>
      <c r="B29" s="24"/>
      <c r="C29" s="25"/>
      <c r="D29" s="26"/>
      <c r="E29" s="25"/>
      <c r="F29" s="26"/>
      <c r="G29" s="27">
        <v>0</v>
      </c>
      <c r="H29" s="27"/>
    </row>
    <row r="30" spans="1:8" s="1" customFormat="1" ht="13.8" thickBot="1" x14ac:dyDescent="0.3">
      <c r="A30" s="28"/>
      <c r="B30" s="31">
        <v>0</v>
      </c>
      <c r="C30" s="29"/>
      <c r="D30" s="32">
        <v>0</v>
      </c>
      <c r="E30" s="29"/>
      <c r="F30" s="36"/>
      <c r="G30" s="30"/>
      <c r="H30" s="30"/>
    </row>
    <row r="31" spans="1:8" s="1" customFormat="1" ht="17.25" customHeight="1" x14ac:dyDescent="0.25">
      <c r="A31" s="20" t="s">
        <v>12</v>
      </c>
      <c r="B31" s="21"/>
      <c r="C31" s="22"/>
      <c r="D31" s="22"/>
      <c r="E31" s="22"/>
      <c r="F31" s="22"/>
      <c r="G31" s="22"/>
      <c r="H31" s="22"/>
    </row>
    <row r="32" spans="1:8" s="1" customFormat="1" ht="12.75" customHeight="1" x14ac:dyDescent="0.25">
      <c r="A32" s="23"/>
      <c r="B32" s="24"/>
      <c r="C32" s="25"/>
      <c r="D32" s="26">
        <v>0</v>
      </c>
      <c r="E32" s="25"/>
      <c r="F32" s="26"/>
      <c r="G32" s="27">
        <v>71217.91</v>
      </c>
      <c r="H32" s="27"/>
    </row>
    <row r="33" spans="1:8" s="1" customFormat="1" ht="12.75" customHeight="1" x14ac:dyDescent="0.25">
      <c r="A33" s="23"/>
      <c r="B33" s="24"/>
      <c r="C33" s="25"/>
      <c r="D33" s="26">
        <v>0</v>
      </c>
      <c r="E33" s="25"/>
      <c r="F33" s="26"/>
      <c r="G33" s="27">
        <v>244311.76</v>
      </c>
      <c r="H33" s="27"/>
    </row>
    <row r="34" spans="1:8" s="1" customFormat="1" ht="12.75" customHeight="1" x14ac:dyDescent="0.25">
      <c r="A34" s="23"/>
      <c r="B34" s="24"/>
      <c r="C34" s="25"/>
      <c r="D34" s="26">
        <v>0</v>
      </c>
      <c r="E34" s="25"/>
      <c r="F34" s="26"/>
      <c r="G34" s="27">
        <v>41065.58</v>
      </c>
      <c r="H34" s="27"/>
    </row>
    <row r="35" spans="1:8" s="1" customFormat="1" ht="12.75" customHeight="1" x14ac:dyDescent="0.25">
      <c r="A35" s="23"/>
      <c r="B35" s="24"/>
      <c r="C35" s="25"/>
      <c r="D35" s="26">
        <v>0</v>
      </c>
      <c r="E35" s="25"/>
      <c r="F35" s="26"/>
      <c r="G35" s="27">
        <v>126467.8</v>
      </c>
      <c r="H35" s="27"/>
    </row>
    <row r="36" spans="1:8" s="1" customFormat="1" ht="12.75" customHeight="1" x14ac:dyDescent="0.25">
      <c r="A36" s="23"/>
      <c r="B36" s="24"/>
      <c r="C36" s="25"/>
      <c r="D36" s="26">
        <v>0</v>
      </c>
      <c r="E36" s="25"/>
      <c r="F36" s="26"/>
      <c r="G36" s="27">
        <v>117843.96</v>
      </c>
      <c r="H36" s="27"/>
    </row>
    <row r="37" spans="1:8" s="1" customFormat="1" ht="12.75" customHeight="1" x14ac:dyDescent="0.25">
      <c r="A37" s="23"/>
      <c r="B37" s="24"/>
      <c r="C37" s="25"/>
      <c r="D37" s="26">
        <v>0</v>
      </c>
      <c r="E37" s="25"/>
      <c r="F37" s="26"/>
      <c r="G37" s="27">
        <v>68880.899999999994</v>
      </c>
      <c r="H37" s="27"/>
    </row>
    <row r="38" spans="1:8" s="1" customFormat="1" ht="12.75" customHeight="1" x14ac:dyDescent="0.25">
      <c r="A38" s="23"/>
      <c r="B38" s="24"/>
      <c r="C38" s="25"/>
      <c r="D38" s="26">
        <v>0</v>
      </c>
      <c r="E38" s="25"/>
      <c r="F38" s="26"/>
      <c r="G38" s="27">
        <v>31399.93</v>
      </c>
      <c r="H38" s="27"/>
    </row>
    <row r="39" spans="1:8" s="1" customFormat="1" ht="12.75" customHeight="1" x14ac:dyDescent="0.25">
      <c r="A39" s="23"/>
      <c r="B39" s="24"/>
      <c r="C39" s="25"/>
      <c r="D39" s="26">
        <v>0</v>
      </c>
      <c r="E39" s="25"/>
      <c r="F39" s="26"/>
      <c r="G39" s="27">
        <v>212911.83</v>
      </c>
      <c r="H39" s="27"/>
    </row>
    <row r="40" spans="1:8" s="1" customFormat="1" ht="12.75" customHeight="1" x14ac:dyDescent="0.25">
      <c r="A40" s="23"/>
      <c r="B40" s="24"/>
      <c r="C40" s="25"/>
      <c r="D40" s="26">
        <v>0</v>
      </c>
      <c r="E40" s="25"/>
      <c r="F40" s="26"/>
      <c r="G40" s="27">
        <v>56925.43</v>
      </c>
      <c r="H40" s="27"/>
    </row>
    <row r="41" spans="1:8" s="1" customFormat="1" ht="12.75" customHeight="1" x14ac:dyDescent="0.25">
      <c r="A41" s="23"/>
      <c r="B41" s="24"/>
      <c r="C41" s="25"/>
      <c r="D41" s="26">
        <v>0</v>
      </c>
      <c r="E41" s="25"/>
      <c r="F41" s="26"/>
      <c r="G41" s="27">
        <v>870.76</v>
      </c>
      <c r="H41" s="27"/>
    </row>
    <row r="42" spans="1:8" s="1" customFormat="1" ht="12.75" customHeight="1" x14ac:dyDescent="0.25">
      <c r="A42" s="23"/>
      <c r="B42" s="24"/>
      <c r="C42" s="25"/>
      <c r="D42" s="26">
        <v>0</v>
      </c>
      <c r="E42" s="25"/>
      <c r="F42" s="26"/>
      <c r="G42" s="27">
        <v>73535.539999999994</v>
      </c>
      <c r="H42" s="27"/>
    </row>
    <row r="43" spans="1:8" s="1" customFormat="1" ht="12.75" customHeight="1" x14ac:dyDescent="0.25">
      <c r="A43" s="23"/>
      <c r="B43" s="24"/>
      <c r="C43" s="25"/>
      <c r="D43" s="26">
        <v>0</v>
      </c>
      <c r="E43" s="25"/>
      <c r="F43" s="26"/>
      <c r="G43" s="27">
        <v>63377.87</v>
      </c>
      <c r="H43" s="27"/>
    </row>
    <row r="44" spans="1:8" s="1" customFormat="1" ht="12.75" customHeight="1" x14ac:dyDescent="0.25">
      <c r="A44" s="23"/>
      <c r="B44" s="24"/>
      <c r="C44" s="25"/>
      <c r="D44" s="26">
        <v>0</v>
      </c>
      <c r="E44" s="25"/>
      <c r="F44" s="26"/>
      <c r="G44" s="27">
        <v>195461.23</v>
      </c>
      <c r="H44" s="27"/>
    </row>
    <row r="45" spans="1:8" s="1" customFormat="1" ht="12.75" customHeight="1" x14ac:dyDescent="0.25">
      <c r="A45" s="23"/>
      <c r="B45" s="24"/>
      <c r="C45" s="25"/>
      <c r="D45" s="26">
        <v>0</v>
      </c>
      <c r="E45" s="25"/>
      <c r="F45" s="26"/>
      <c r="G45" s="27">
        <v>18539.810000000001</v>
      </c>
      <c r="H45" s="27"/>
    </row>
    <row r="46" spans="1:8" s="1" customFormat="1" ht="12.75" customHeight="1" x14ac:dyDescent="0.25">
      <c r="A46" s="23"/>
      <c r="B46" s="24"/>
      <c r="C46" s="25"/>
      <c r="D46" s="26">
        <v>0</v>
      </c>
      <c r="E46" s="25"/>
      <c r="F46" s="26"/>
      <c r="G46" s="27">
        <v>79594.69</v>
      </c>
      <c r="H46" s="27"/>
    </row>
    <row r="47" spans="1:8" s="1" customFormat="1" ht="12.75" customHeight="1" x14ac:dyDescent="0.25">
      <c r="A47" s="23"/>
      <c r="B47" s="24"/>
      <c r="C47" s="25"/>
      <c r="D47" s="26">
        <v>0</v>
      </c>
      <c r="E47" s="25"/>
      <c r="F47" s="26"/>
      <c r="G47" s="27">
        <v>64849.87</v>
      </c>
      <c r="H47" s="27"/>
    </row>
    <row r="48" spans="1:8" s="1" customFormat="1" ht="12.75" customHeight="1" x14ac:dyDescent="0.25">
      <c r="A48" s="23"/>
      <c r="B48" s="24"/>
      <c r="C48" s="25"/>
      <c r="D48" s="26">
        <v>0</v>
      </c>
      <c r="E48" s="25"/>
      <c r="F48" s="26"/>
      <c r="G48" s="27">
        <v>251327.72</v>
      </c>
      <c r="H48" s="27"/>
    </row>
    <row r="49" spans="1:8" s="1" customFormat="1" ht="12.75" customHeight="1" x14ac:dyDescent="0.25">
      <c r="A49" s="23"/>
      <c r="B49" s="24"/>
      <c r="C49" s="25"/>
      <c r="D49" s="26">
        <v>0</v>
      </c>
      <c r="E49" s="25"/>
      <c r="F49" s="26"/>
      <c r="G49" s="27">
        <v>112076.4</v>
      </c>
      <c r="H49" s="27"/>
    </row>
    <row r="50" spans="1:8" s="1" customFormat="1" ht="12.75" customHeight="1" x14ac:dyDescent="0.25">
      <c r="A50" s="23"/>
      <c r="B50" s="24"/>
      <c r="C50" s="25"/>
      <c r="D50" s="26">
        <v>0</v>
      </c>
      <c r="E50" s="25"/>
      <c r="F50" s="26"/>
      <c r="G50" s="27">
        <v>86551.13</v>
      </c>
      <c r="H50" s="27"/>
    </row>
    <row r="51" spans="1:8" s="1" customFormat="1" ht="12.75" customHeight="1" x14ac:dyDescent="0.25">
      <c r="A51" s="23"/>
      <c r="B51" s="24"/>
      <c r="C51" s="25"/>
      <c r="D51" s="26">
        <v>0</v>
      </c>
      <c r="E51" s="25"/>
      <c r="F51" s="26"/>
      <c r="G51" s="27">
        <v>157791.13</v>
      </c>
      <c r="H51" s="27"/>
    </row>
    <row r="52" spans="1:8" s="1" customFormat="1" ht="12.75" customHeight="1" x14ac:dyDescent="0.25">
      <c r="A52" s="23"/>
      <c r="B52" s="24"/>
      <c r="C52" s="25"/>
      <c r="D52" s="26">
        <v>0</v>
      </c>
      <c r="E52" s="25"/>
      <c r="F52" s="26"/>
      <c r="G52" s="27">
        <v>269867.53000000003</v>
      </c>
      <c r="H52" s="27"/>
    </row>
    <row r="53" spans="1:8" s="1" customFormat="1" ht="12.75" customHeight="1" x14ac:dyDescent="0.25">
      <c r="A53" s="23"/>
      <c r="B53" s="24"/>
      <c r="C53" s="25"/>
      <c r="D53" s="26">
        <v>0</v>
      </c>
      <c r="E53" s="25"/>
      <c r="F53" s="26"/>
      <c r="G53" s="27">
        <v>35179.14</v>
      </c>
      <c r="H53" s="27"/>
    </row>
    <row r="54" spans="1:8" s="1" customFormat="1" ht="12.75" customHeight="1" x14ac:dyDescent="0.25">
      <c r="A54" s="23"/>
      <c r="B54" s="24"/>
      <c r="C54" s="25"/>
      <c r="D54" s="26">
        <v>0</v>
      </c>
      <c r="E54" s="25"/>
      <c r="F54" s="26"/>
      <c r="G54" s="27">
        <v>244311.76</v>
      </c>
      <c r="H54" s="27"/>
    </row>
    <row r="55" spans="1:8" s="1" customFormat="1" ht="12.75" customHeight="1" x14ac:dyDescent="0.25">
      <c r="A55" s="23"/>
      <c r="B55" s="24"/>
      <c r="C55" s="25"/>
      <c r="D55" s="26">
        <v>0</v>
      </c>
      <c r="E55" s="25"/>
      <c r="F55" s="26"/>
      <c r="G55" s="27">
        <v>52389.79</v>
      </c>
      <c r="H55" s="27"/>
    </row>
    <row r="56" spans="1:8" s="1" customFormat="1" ht="12.75" customHeight="1" x14ac:dyDescent="0.25">
      <c r="A56" s="23"/>
      <c r="B56" s="24"/>
      <c r="C56" s="25"/>
      <c r="D56" s="26">
        <v>0</v>
      </c>
      <c r="E56" s="25"/>
      <c r="F56" s="26"/>
      <c r="G56" s="27">
        <v>38706.699999999997</v>
      </c>
      <c r="H56" s="27"/>
    </row>
    <row r="57" spans="1:8" s="1" customFormat="1" ht="12.75" customHeight="1" x14ac:dyDescent="0.25">
      <c r="A57" s="23"/>
      <c r="B57" s="24"/>
      <c r="C57" s="25"/>
      <c r="D57" s="26">
        <v>0</v>
      </c>
      <c r="E57" s="25"/>
      <c r="F57" s="26"/>
      <c r="G57" s="27">
        <v>54484.72</v>
      </c>
      <c r="H57" s="27"/>
    </row>
    <row r="58" spans="1:8" s="1" customFormat="1" ht="12.75" customHeight="1" x14ac:dyDescent="0.25">
      <c r="A58" s="23"/>
      <c r="B58" s="24"/>
      <c r="C58" s="25"/>
      <c r="D58" s="26">
        <v>0</v>
      </c>
      <c r="E58" s="25"/>
      <c r="F58" s="26"/>
      <c r="G58" s="27">
        <v>37181.35</v>
      </c>
      <c r="H58" s="27"/>
    </row>
    <row r="59" spans="1:8" s="1" customFormat="1" ht="12.75" customHeight="1" x14ac:dyDescent="0.25">
      <c r="A59" s="23"/>
      <c r="B59" s="24"/>
      <c r="C59" s="25"/>
      <c r="D59" s="26">
        <v>0</v>
      </c>
      <c r="E59" s="25"/>
      <c r="F59" s="26"/>
      <c r="G59" s="27">
        <v>36936.730000000003</v>
      </c>
      <c r="H59" s="27"/>
    </row>
    <row r="60" spans="1:8" s="1" customFormat="1" ht="12.75" customHeight="1" x14ac:dyDescent="0.25">
      <c r="A60" s="23"/>
      <c r="B60" s="24"/>
      <c r="C60" s="25"/>
      <c r="D60" s="26">
        <v>0</v>
      </c>
      <c r="E60" s="25"/>
      <c r="F60" s="26"/>
      <c r="G60" s="27">
        <v>147773.01999999999</v>
      </c>
      <c r="H60" s="27"/>
    </row>
    <row r="61" spans="1:8" s="1" customFormat="1" ht="12.75" customHeight="1" x14ac:dyDescent="0.25">
      <c r="A61" s="23"/>
      <c r="B61" s="24"/>
      <c r="C61" s="25"/>
      <c r="D61" s="26">
        <v>0</v>
      </c>
      <c r="E61" s="25"/>
      <c r="F61" s="26"/>
      <c r="G61" s="27">
        <v>212766.14</v>
      </c>
      <c r="H61" s="27"/>
    </row>
    <row r="62" spans="1:8" s="1" customFormat="1" ht="12.75" customHeight="1" x14ac:dyDescent="0.25">
      <c r="A62" s="23"/>
      <c r="B62" s="24"/>
      <c r="C62" s="25"/>
      <c r="D62" s="26">
        <v>0</v>
      </c>
      <c r="E62" s="25"/>
      <c r="F62" s="26"/>
      <c r="G62" s="27">
        <v>70764.179999999993</v>
      </c>
      <c r="H62" s="27"/>
    </row>
    <row r="63" spans="1:8" s="1" customFormat="1" ht="12.75" customHeight="1" x14ac:dyDescent="0.25">
      <c r="A63" s="23"/>
      <c r="B63" s="24"/>
      <c r="C63" s="25"/>
      <c r="D63" s="26">
        <v>0</v>
      </c>
      <c r="E63" s="25"/>
      <c r="F63" s="26"/>
      <c r="G63" s="27">
        <v>131972.54</v>
      </c>
      <c r="H63" s="27"/>
    </row>
    <row r="64" spans="1:8" s="1" customFormat="1" ht="12.75" customHeight="1" x14ac:dyDescent="0.25">
      <c r="A64" s="23"/>
      <c r="B64" s="24"/>
      <c r="C64" s="25"/>
      <c r="D64" s="26">
        <v>0</v>
      </c>
      <c r="E64" s="25"/>
      <c r="F64" s="26"/>
      <c r="G64" s="27">
        <v>75865.59</v>
      </c>
      <c r="H64" s="27"/>
    </row>
    <row r="65" spans="1:8" s="1" customFormat="1" ht="12.75" customHeight="1" x14ac:dyDescent="0.25">
      <c r="A65" s="23"/>
      <c r="B65" s="24"/>
      <c r="C65" s="25"/>
      <c r="D65" s="26">
        <v>0</v>
      </c>
      <c r="E65" s="25"/>
      <c r="F65" s="26"/>
      <c r="G65" s="27">
        <v>70694.63</v>
      </c>
      <c r="H65" s="27"/>
    </row>
    <row r="66" spans="1:8" s="1" customFormat="1" ht="12.75" customHeight="1" x14ac:dyDescent="0.25">
      <c r="A66" s="23"/>
      <c r="B66" s="24"/>
      <c r="C66" s="25"/>
      <c r="D66" s="26">
        <v>0</v>
      </c>
      <c r="E66" s="25"/>
      <c r="F66" s="26"/>
      <c r="G66" s="27">
        <v>64316.3</v>
      </c>
      <c r="H66" s="27"/>
    </row>
    <row r="67" spans="1:8" s="1" customFormat="1" ht="12.75" customHeight="1" x14ac:dyDescent="0.25">
      <c r="A67" s="23"/>
      <c r="B67" s="24"/>
      <c r="C67" s="25"/>
      <c r="D67" s="26">
        <v>0</v>
      </c>
      <c r="E67" s="25"/>
      <c r="F67" s="26"/>
      <c r="G67" s="27">
        <v>244311.76</v>
      </c>
      <c r="H67" s="27"/>
    </row>
    <row r="68" spans="1:8" s="1" customFormat="1" ht="12.75" customHeight="1" x14ac:dyDescent="0.25">
      <c r="A68" s="23"/>
      <c r="B68" s="24"/>
      <c r="C68" s="25"/>
      <c r="D68" s="26">
        <v>0</v>
      </c>
      <c r="E68" s="25"/>
      <c r="F68" s="26"/>
      <c r="G68" s="27">
        <v>10872.47</v>
      </c>
      <c r="H68" s="27"/>
    </row>
    <row r="69" spans="1:8" s="1" customFormat="1" ht="12.75" customHeight="1" x14ac:dyDescent="0.25">
      <c r="A69" s="23"/>
      <c r="B69" s="24"/>
      <c r="C69" s="25"/>
      <c r="D69" s="26">
        <v>0</v>
      </c>
      <c r="E69" s="25"/>
      <c r="F69" s="26"/>
      <c r="G69" s="27">
        <v>223638.6</v>
      </c>
      <c r="H69" s="27"/>
    </row>
    <row r="70" spans="1:8" s="1" customFormat="1" ht="12.75" customHeight="1" x14ac:dyDescent="0.25">
      <c r="A70" s="23"/>
      <c r="B70" s="24"/>
      <c r="C70" s="25"/>
      <c r="D70" s="26">
        <v>0</v>
      </c>
      <c r="E70" s="25"/>
      <c r="F70" s="26"/>
      <c r="G70" s="27">
        <v>223638.6</v>
      </c>
      <c r="H70" s="27"/>
    </row>
    <row r="71" spans="1:8" s="1" customFormat="1" ht="12.75" customHeight="1" x14ac:dyDescent="0.25">
      <c r="A71" s="23"/>
      <c r="B71" s="24"/>
      <c r="C71" s="25"/>
      <c r="D71" s="26">
        <v>0</v>
      </c>
      <c r="E71" s="25"/>
      <c r="F71" s="26"/>
      <c r="G71" s="27">
        <v>70555.55</v>
      </c>
      <c r="H71" s="27"/>
    </row>
    <row r="72" spans="1:8" s="1" customFormat="1" ht="12.75" customHeight="1" x14ac:dyDescent="0.25">
      <c r="A72" s="23"/>
      <c r="B72" s="24"/>
      <c r="C72" s="25"/>
      <c r="D72" s="26">
        <v>0</v>
      </c>
      <c r="E72" s="25"/>
      <c r="F72" s="26"/>
      <c r="G72" s="27">
        <v>48956.73</v>
      </c>
      <c r="H72" s="27"/>
    </row>
    <row r="73" spans="1:8" s="1" customFormat="1" ht="12.75" customHeight="1" x14ac:dyDescent="0.25">
      <c r="A73" s="23"/>
      <c r="B73" s="24"/>
      <c r="C73" s="25"/>
      <c r="D73" s="26">
        <v>0</v>
      </c>
      <c r="E73" s="25"/>
      <c r="F73" s="26"/>
      <c r="G73" s="27">
        <v>77871.98</v>
      </c>
      <c r="H73" s="27"/>
    </row>
    <row r="74" spans="1:8" s="1" customFormat="1" ht="12.75" customHeight="1" x14ac:dyDescent="0.25">
      <c r="A74" s="23"/>
      <c r="B74" s="24"/>
      <c r="C74" s="25"/>
      <c r="D74" s="26">
        <v>0</v>
      </c>
      <c r="E74" s="25"/>
      <c r="F74" s="26"/>
      <c r="G74" s="27">
        <v>89874.82</v>
      </c>
      <c r="H74" s="27"/>
    </row>
    <row r="75" spans="1:8" s="1" customFormat="1" ht="12.75" customHeight="1" x14ac:dyDescent="0.25">
      <c r="A75" s="23"/>
      <c r="B75" s="24"/>
      <c r="C75" s="25"/>
      <c r="D75" s="26">
        <v>0</v>
      </c>
      <c r="E75" s="25"/>
      <c r="F75" s="26"/>
      <c r="G75" s="27">
        <v>154436.94</v>
      </c>
      <c r="H75" s="27"/>
    </row>
    <row r="76" spans="1:8" s="1" customFormat="1" ht="12.75" customHeight="1" x14ac:dyDescent="0.25">
      <c r="A76" s="23"/>
      <c r="B76" s="24"/>
      <c r="C76" s="25"/>
      <c r="D76" s="26">
        <v>0</v>
      </c>
      <c r="E76" s="25"/>
      <c r="F76" s="26"/>
      <c r="G76" s="27">
        <v>61390.12</v>
      </c>
      <c r="H76" s="27"/>
    </row>
    <row r="77" spans="1:8" s="1" customFormat="1" ht="12.75" customHeight="1" x14ac:dyDescent="0.25">
      <c r="A77" s="23"/>
      <c r="B77" s="24"/>
      <c r="C77" s="25"/>
      <c r="D77" s="26">
        <v>0</v>
      </c>
      <c r="E77" s="25"/>
      <c r="F77" s="26"/>
      <c r="G77" s="27">
        <v>65539.149999999994</v>
      </c>
      <c r="H77" s="27"/>
    </row>
    <row r="78" spans="1:8" s="1" customFormat="1" ht="12.75" customHeight="1" x14ac:dyDescent="0.25">
      <c r="A78" s="23"/>
      <c r="B78" s="24"/>
      <c r="C78" s="25"/>
      <c r="D78" s="26">
        <v>0</v>
      </c>
      <c r="E78" s="25"/>
      <c r="F78" s="26"/>
      <c r="G78" s="27">
        <v>76493.440000000002</v>
      </c>
      <c r="H78" s="27"/>
    </row>
    <row r="79" spans="1:8" s="1" customFormat="1" ht="12.75" customHeight="1" x14ac:dyDescent="0.25">
      <c r="A79" s="23"/>
      <c r="B79" s="24"/>
      <c r="C79" s="25"/>
      <c r="D79" s="26">
        <v>0</v>
      </c>
      <c r="E79" s="25"/>
      <c r="F79" s="26"/>
      <c r="G79" s="27">
        <v>274641.3</v>
      </c>
      <c r="H79" s="27"/>
    </row>
    <row r="80" spans="1:8" s="1" customFormat="1" ht="12.75" customHeight="1" x14ac:dyDescent="0.25">
      <c r="A80" s="23"/>
      <c r="B80" s="24"/>
      <c r="C80" s="25"/>
      <c r="D80" s="26">
        <v>0</v>
      </c>
      <c r="E80" s="25"/>
      <c r="F80" s="26"/>
      <c r="G80" s="27">
        <v>17497.349999999999</v>
      </c>
      <c r="H80" s="27"/>
    </row>
    <row r="81" spans="1:8" s="1" customFormat="1" ht="12.75" customHeight="1" x14ac:dyDescent="0.25">
      <c r="A81" s="23"/>
      <c r="B81" s="24"/>
      <c r="C81" s="25"/>
      <c r="D81" s="26">
        <v>0</v>
      </c>
      <c r="E81" s="25"/>
      <c r="F81" s="26"/>
      <c r="G81" s="27">
        <v>76102.19</v>
      </c>
      <c r="H81" s="27"/>
    </row>
    <row r="82" spans="1:8" s="1" customFormat="1" ht="12.75" customHeight="1" x14ac:dyDescent="0.25">
      <c r="A82" s="23"/>
      <c r="B82" s="24"/>
      <c r="C82" s="25"/>
      <c r="D82" s="26">
        <v>0</v>
      </c>
      <c r="E82" s="25"/>
      <c r="F82" s="26"/>
      <c r="G82" s="27">
        <v>227747.17</v>
      </c>
      <c r="H82" s="27"/>
    </row>
    <row r="83" spans="1:8" s="1" customFormat="1" ht="12.75" customHeight="1" x14ac:dyDescent="0.25">
      <c r="A83" s="23"/>
      <c r="B83" s="24"/>
      <c r="C83" s="25"/>
      <c r="D83" s="26">
        <v>0</v>
      </c>
      <c r="E83" s="25"/>
      <c r="F83" s="26"/>
      <c r="G83" s="27">
        <v>279168.31</v>
      </c>
      <c r="H83" s="27"/>
    </row>
    <row r="84" spans="1:8" s="1" customFormat="1" ht="12.75" customHeight="1" x14ac:dyDescent="0.25">
      <c r="A84" s="23"/>
      <c r="B84" s="24"/>
      <c r="C84" s="25"/>
      <c r="D84" s="26">
        <v>0</v>
      </c>
      <c r="E84" s="25"/>
      <c r="F84" s="26"/>
      <c r="G84" s="27">
        <v>89397.49</v>
      </c>
      <c r="H84" s="27"/>
    </row>
    <row r="85" spans="1:8" s="1" customFormat="1" ht="12.75" customHeight="1" x14ac:dyDescent="0.25">
      <c r="A85" s="23"/>
      <c r="B85" s="24"/>
      <c r="C85" s="25"/>
      <c r="D85" s="26">
        <v>0</v>
      </c>
      <c r="E85" s="25"/>
      <c r="F85" s="26"/>
      <c r="G85" s="27">
        <v>275788.96999999997</v>
      </c>
      <c r="H85" s="27"/>
    </row>
    <row r="86" spans="1:8" s="1" customFormat="1" ht="12.75" customHeight="1" x14ac:dyDescent="0.25">
      <c r="A86" s="23"/>
      <c r="B86" s="24"/>
      <c r="C86" s="25"/>
      <c r="D86" s="26">
        <v>0</v>
      </c>
      <c r="E86" s="25"/>
      <c r="F86" s="26"/>
      <c r="G86" s="27">
        <v>89014.27</v>
      </c>
      <c r="H86" s="27"/>
    </row>
    <row r="87" spans="1:8" s="1" customFormat="1" ht="12.75" customHeight="1" x14ac:dyDescent="0.25">
      <c r="A87" s="23"/>
      <c r="B87" s="24"/>
      <c r="C87" s="25"/>
      <c r="D87" s="26">
        <v>0</v>
      </c>
      <c r="E87" s="25"/>
      <c r="F87" s="26"/>
      <c r="G87" s="27">
        <v>83676.52</v>
      </c>
      <c r="H87" s="27"/>
    </row>
    <row r="88" spans="1:8" s="1" customFormat="1" ht="12.75" customHeight="1" x14ac:dyDescent="0.25">
      <c r="A88" s="23"/>
      <c r="B88" s="24"/>
      <c r="C88" s="25"/>
      <c r="D88" s="26">
        <v>0</v>
      </c>
      <c r="E88" s="25"/>
      <c r="F88" s="26"/>
      <c r="G88" s="27">
        <v>252398.2</v>
      </c>
      <c r="H88" s="27"/>
    </row>
    <row r="89" spans="1:8" s="1" customFormat="1" ht="12.75" customHeight="1" x14ac:dyDescent="0.25">
      <c r="A89" s="23"/>
      <c r="B89" s="24"/>
      <c r="C89" s="25"/>
      <c r="D89" s="26">
        <v>0</v>
      </c>
      <c r="E89" s="25"/>
      <c r="F89" s="26"/>
      <c r="G89" s="27">
        <v>71200.52</v>
      </c>
      <c r="H89" s="27"/>
    </row>
    <row r="90" spans="1:8" s="1" customFormat="1" ht="12.75" customHeight="1" x14ac:dyDescent="0.25">
      <c r="A90" s="23"/>
      <c r="B90" s="24"/>
      <c r="C90" s="25"/>
      <c r="D90" s="26">
        <v>0</v>
      </c>
      <c r="E90" s="25"/>
      <c r="F90" s="26"/>
      <c r="G90" s="27">
        <v>216481.48</v>
      </c>
      <c r="H90" s="27"/>
    </row>
    <row r="91" spans="1:8" s="1" customFormat="1" ht="12.75" customHeight="1" x14ac:dyDescent="0.25">
      <c r="A91" s="23"/>
      <c r="B91" s="24"/>
      <c r="C91" s="25"/>
      <c r="D91" s="26">
        <v>0</v>
      </c>
      <c r="E91" s="25"/>
      <c r="F91" s="26"/>
      <c r="G91" s="27">
        <v>35916.720000000001</v>
      </c>
      <c r="H91" s="27"/>
    </row>
    <row r="92" spans="1:8" s="1" customFormat="1" ht="12.75" customHeight="1" x14ac:dyDescent="0.25">
      <c r="A92" s="23"/>
      <c r="B92" s="24"/>
      <c r="C92" s="25"/>
      <c r="D92" s="26">
        <v>0</v>
      </c>
      <c r="E92" s="25"/>
      <c r="F92" s="26"/>
      <c r="G92" s="27">
        <v>75058.66</v>
      </c>
      <c r="H92" s="27"/>
    </row>
    <row r="93" spans="1:8" s="1" customFormat="1" ht="12.75" customHeight="1" x14ac:dyDescent="0.25">
      <c r="A93" s="23"/>
      <c r="B93" s="24"/>
      <c r="C93" s="25"/>
      <c r="D93" s="26">
        <v>0</v>
      </c>
      <c r="E93" s="25"/>
      <c r="F93" s="26"/>
      <c r="G93" s="27">
        <v>252398.2</v>
      </c>
      <c r="H93" s="27"/>
    </row>
    <row r="94" spans="1:8" s="1" customFormat="1" ht="12.75" customHeight="1" x14ac:dyDescent="0.25">
      <c r="A94" s="23"/>
      <c r="B94" s="24"/>
      <c r="C94" s="25"/>
      <c r="D94" s="26">
        <v>0</v>
      </c>
      <c r="E94" s="25"/>
      <c r="F94" s="26"/>
      <c r="G94" s="27">
        <v>81299.92</v>
      </c>
      <c r="H94" s="27"/>
    </row>
    <row r="95" spans="1:8" s="1" customFormat="1" ht="12.75" customHeight="1" x14ac:dyDescent="0.25">
      <c r="A95" s="23"/>
      <c r="B95" s="24"/>
      <c r="C95" s="25"/>
      <c r="D95" s="26">
        <v>0</v>
      </c>
      <c r="E95" s="25"/>
      <c r="F95" s="26"/>
      <c r="G95" s="27">
        <v>205726.41</v>
      </c>
      <c r="H95" s="27"/>
    </row>
    <row r="96" spans="1:8" s="1" customFormat="1" ht="12.75" customHeight="1" x14ac:dyDescent="0.25">
      <c r="A96" s="23"/>
      <c r="B96" s="24"/>
      <c r="C96" s="25"/>
      <c r="D96" s="26">
        <v>0</v>
      </c>
      <c r="E96" s="25"/>
      <c r="F96" s="26"/>
      <c r="G96" s="27">
        <v>46671.79</v>
      </c>
      <c r="H96" s="27"/>
    </row>
    <row r="97" spans="1:8" s="1" customFormat="1" ht="12.75" customHeight="1" x14ac:dyDescent="0.25">
      <c r="A97" s="23"/>
      <c r="B97" s="24"/>
      <c r="C97" s="25"/>
      <c r="D97" s="26">
        <v>0</v>
      </c>
      <c r="E97" s="25"/>
      <c r="F97" s="26"/>
      <c r="G97" s="27">
        <v>71389.94</v>
      </c>
      <c r="H97" s="27"/>
    </row>
    <row r="98" spans="1:8" s="1" customFormat="1" ht="12.75" customHeight="1" x14ac:dyDescent="0.25">
      <c r="A98" s="23"/>
      <c r="B98" s="24"/>
      <c r="C98" s="25"/>
      <c r="D98" s="26">
        <v>0</v>
      </c>
      <c r="E98" s="25"/>
      <c r="F98" s="26"/>
      <c r="G98" s="27">
        <v>224508.36</v>
      </c>
      <c r="H98" s="27"/>
    </row>
    <row r="99" spans="1:8" s="1" customFormat="1" ht="12.75" customHeight="1" x14ac:dyDescent="0.25">
      <c r="A99" s="23"/>
      <c r="B99" s="24"/>
      <c r="C99" s="25"/>
      <c r="D99" s="26">
        <v>0</v>
      </c>
      <c r="E99" s="25"/>
      <c r="F99" s="26"/>
      <c r="G99" s="27">
        <v>27889.84</v>
      </c>
      <c r="H99" s="27"/>
    </row>
    <row r="100" spans="1:8" s="1" customFormat="1" ht="12.75" customHeight="1" x14ac:dyDescent="0.25">
      <c r="A100" s="23"/>
      <c r="B100" s="24"/>
      <c r="C100" s="25"/>
      <c r="D100" s="26">
        <v>0</v>
      </c>
      <c r="E100" s="25"/>
      <c r="F100" s="26"/>
      <c r="G100" s="27">
        <v>45958.19</v>
      </c>
      <c r="H100" s="27"/>
    </row>
    <row r="101" spans="1:8" s="1" customFormat="1" ht="12.75" customHeight="1" x14ac:dyDescent="0.25">
      <c r="A101" s="23"/>
      <c r="B101" s="24"/>
      <c r="C101" s="25"/>
      <c r="D101" s="26">
        <v>0</v>
      </c>
      <c r="E101" s="25"/>
      <c r="F101" s="26"/>
      <c r="G101" s="27">
        <v>128472.02</v>
      </c>
      <c r="H101" s="27"/>
    </row>
    <row r="102" spans="1:8" s="1" customFormat="1" ht="12.75" customHeight="1" x14ac:dyDescent="0.25">
      <c r="A102" s="23"/>
      <c r="B102" s="24"/>
      <c r="C102" s="25"/>
      <c r="D102" s="26">
        <v>0</v>
      </c>
      <c r="E102" s="25"/>
      <c r="F102" s="26"/>
      <c r="G102" s="27">
        <v>102222.98</v>
      </c>
      <c r="H102" s="27"/>
    </row>
    <row r="103" spans="1:8" s="1" customFormat="1" ht="12.75" customHeight="1" x14ac:dyDescent="0.25">
      <c r="A103" s="23"/>
      <c r="B103" s="24"/>
      <c r="C103" s="25"/>
      <c r="D103" s="26">
        <v>0</v>
      </c>
      <c r="E103" s="25"/>
      <c r="F103" s="26"/>
      <c r="G103" s="27">
        <v>62892.61</v>
      </c>
      <c r="H103" s="27"/>
    </row>
    <row r="104" spans="1:8" s="1" customFormat="1" ht="12.75" customHeight="1" x14ac:dyDescent="0.25">
      <c r="A104" s="23"/>
      <c r="B104" s="24"/>
      <c r="C104" s="25"/>
      <c r="D104" s="26">
        <v>0</v>
      </c>
      <c r="E104" s="25"/>
      <c r="F104" s="26"/>
      <c r="G104" s="27">
        <v>72502.19</v>
      </c>
      <c r="H104" s="27"/>
    </row>
    <row r="105" spans="1:8" s="1" customFormat="1" ht="12.75" customHeight="1" x14ac:dyDescent="0.25">
      <c r="A105" s="23"/>
      <c r="B105" s="24"/>
      <c r="C105" s="25"/>
      <c r="D105" s="26">
        <v>0</v>
      </c>
      <c r="E105" s="25"/>
      <c r="F105" s="26"/>
      <c r="G105" s="27">
        <v>21703.200000000001</v>
      </c>
      <c r="H105" s="27"/>
    </row>
    <row r="106" spans="1:8" s="1" customFormat="1" ht="12.75" customHeight="1" x14ac:dyDescent="0.25">
      <c r="A106" s="23"/>
      <c r="B106" s="24"/>
      <c r="C106" s="25"/>
      <c r="D106" s="26">
        <v>0</v>
      </c>
      <c r="E106" s="25"/>
      <c r="F106" s="26"/>
      <c r="G106" s="27">
        <v>18645.02</v>
      </c>
      <c r="H106" s="27"/>
    </row>
    <row r="107" spans="1:8" s="1" customFormat="1" ht="12.75" customHeight="1" x14ac:dyDescent="0.25">
      <c r="A107" s="23"/>
      <c r="B107" s="24"/>
      <c r="C107" s="25"/>
      <c r="D107" s="26">
        <v>0</v>
      </c>
      <c r="E107" s="25"/>
      <c r="F107" s="26"/>
      <c r="G107" s="27">
        <v>79212.800000000003</v>
      </c>
      <c r="H107" s="27"/>
    </row>
    <row r="108" spans="1:8" s="1" customFormat="1" ht="12.75" customHeight="1" x14ac:dyDescent="0.25">
      <c r="A108" s="23"/>
      <c r="B108" s="24"/>
      <c r="C108" s="25"/>
      <c r="D108" s="26">
        <v>0</v>
      </c>
      <c r="E108" s="25"/>
      <c r="F108" s="26"/>
      <c r="G108" s="27">
        <v>63251.38</v>
      </c>
      <c r="H108" s="27"/>
    </row>
    <row r="109" spans="1:8" s="1" customFormat="1" ht="12.75" customHeight="1" x14ac:dyDescent="0.25">
      <c r="A109" s="23"/>
      <c r="B109" s="24"/>
      <c r="C109" s="25"/>
      <c r="D109" s="26">
        <v>0</v>
      </c>
      <c r="E109" s="25"/>
      <c r="F109" s="26"/>
      <c r="G109" s="27">
        <v>39108.410000000003</v>
      </c>
      <c r="H109" s="27"/>
    </row>
    <row r="110" spans="1:8" s="1" customFormat="1" ht="12.75" customHeight="1" x14ac:dyDescent="0.25">
      <c r="A110" s="23"/>
      <c r="B110" s="24"/>
      <c r="C110" s="25"/>
      <c r="D110" s="26">
        <v>0</v>
      </c>
      <c r="E110" s="25"/>
      <c r="F110" s="26"/>
      <c r="G110" s="27">
        <v>111406.61</v>
      </c>
      <c r="H110" s="27"/>
    </row>
    <row r="111" spans="1:8" s="1" customFormat="1" ht="12.75" customHeight="1" x14ac:dyDescent="0.25">
      <c r="A111" s="23"/>
      <c r="B111" s="24"/>
      <c r="C111" s="25"/>
      <c r="D111" s="26">
        <v>0</v>
      </c>
      <c r="E111" s="25"/>
      <c r="F111" s="26"/>
      <c r="G111" s="27">
        <v>224484.7</v>
      </c>
      <c r="H111" s="27"/>
    </row>
    <row r="112" spans="1:8" s="1" customFormat="1" ht="12.75" customHeight="1" x14ac:dyDescent="0.25">
      <c r="A112" s="23"/>
      <c r="B112" s="24"/>
      <c r="C112" s="25"/>
      <c r="D112" s="26">
        <v>0</v>
      </c>
      <c r="E112" s="25"/>
      <c r="F112" s="26"/>
      <c r="G112" s="27">
        <v>125315.72</v>
      </c>
      <c r="H112" s="27"/>
    </row>
    <row r="113" spans="1:8" s="1" customFormat="1" ht="12.75" customHeight="1" x14ac:dyDescent="0.25">
      <c r="A113" s="23"/>
      <c r="B113" s="24"/>
      <c r="C113" s="25"/>
      <c r="D113" s="26">
        <v>0</v>
      </c>
      <c r="E113" s="25"/>
      <c r="F113" s="26"/>
      <c r="G113" s="27">
        <v>253170.46</v>
      </c>
      <c r="H113" s="27"/>
    </row>
    <row r="114" spans="1:8" s="1" customFormat="1" ht="12.75" customHeight="1" x14ac:dyDescent="0.25">
      <c r="A114" s="23"/>
      <c r="B114" s="24"/>
      <c r="C114" s="25"/>
      <c r="D114" s="26">
        <v>0</v>
      </c>
      <c r="E114" s="25"/>
      <c r="F114" s="26"/>
      <c r="G114" s="27">
        <v>113338.56</v>
      </c>
      <c r="H114" s="27"/>
    </row>
    <row r="115" spans="1:8" s="1" customFormat="1" ht="12.75" customHeight="1" x14ac:dyDescent="0.25">
      <c r="A115" s="23"/>
      <c r="B115" s="24"/>
      <c r="C115" s="25"/>
      <c r="D115" s="26">
        <v>0</v>
      </c>
      <c r="E115" s="25"/>
      <c r="F115" s="26"/>
      <c r="G115" s="27">
        <v>36161.919999999998</v>
      </c>
      <c r="H115" s="27"/>
    </row>
    <row r="116" spans="1:8" s="1" customFormat="1" ht="12.75" customHeight="1" x14ac:dyDescent="0.25">
      <c r="A116" s="23"/>
      <c r="B116" s="24"/>
      <c r="C116" s="25"/>
      <c r="D116" s="26">
        <v>0</v>
      </c>
      <c r="E116" s="25"/>
      <c r="F116" s="26"/>
      <c r="G116" s="27">
        <v>209520.04</v>
      </c>
      <c r="H116" s="27"/>
    </row>
    <row r="117" spans="1:8" s="1" customFormat="1" ht="12.75" customHeight="1" x14ac:dyDescent="0.25">
      <c r="A117" s="23"/>
      <c r="B117" s="24"/>
      <c r="C117" s="25"/>
      <c r="D117" s="26">
        <v>0</v>
      </c>
      <c r="E117" s="25"/>
      <c r="F117" s="26"/>
      <c r="G117" s="27">
        <v>29108.23</v>
      </c>
      <c r="H117" s="27"/>
    </row>
    <row r="118" spans="1:8" s="1" customFormat="1" ht="12.75" customHeight="1" x14ac:dyDescent="0.25">
      <c r="A118" s="23"/>
      <c r="B118" s="24"/>
      <c r="C118" s="25"/>
      <c r="D118" s="26">
        <v>0</v>
      </c>
      <c r="E118" s="25"/>
      <c r="F118" s="26"/>
      <c r="G118" s="27">
        <v>244648.45</v>
      </c>
      <c r="H118" s="27"/>
    </row>
    <row r="119" spans="1:8" s="1" customFormat="1" ht="12.75" customHeight="1" x14ac:dyDescent="0.25">
      <c r="A119" s="23"/>
      <c r="B119" s="24"/>
      <c r="C119" s="25"/>
      <c r="D119" s="26">
        <v>0</v>
      </c>
      <c r="E119" s="25"/>
      <c r="F119" s="26"/>
      <c r="G119" s="27">
        <v>192015.26</v>
      </c>
      <c r="H119" s="27"/>
    </row>
    <row r="120" spans="1:8" s="1" customFormat="1" ht="12.75" customHeight="1" x14ac:dyDescent="0.25">
      <c r="A120" s="23"/>
      <c r="B120" s="24"/>
      <c r="C120" s="25"/>
      <c r="D120" s="26">
        <v>0</v>
      </c>
      <c r="E120" s="25"/>
      <c r="F120" s="26"/>
      <c r="G120" s="27">
        <v>79685.64</v>
      </c>
      <c r="H120" s="27"/>
    </row>
    <row r="121" spans="1:8" s="1" customFormat="1" ht="12.75" customHeight="1" x14ac:dyDescent="0.25">
      <c r="A121" s="23"/>
      <c r="B121" s="24"/>
      <c r="C121" s="25"/>
      <c r="D121" s="26">
        <v>0</v>
      </c>
      <c r="E121" s="25"/>
      <c r="F121" s="26"/>
      <c r="G121" s="27">
        <v>271700.90000000002</v>
      </c>
      <c r="H121" s="27"/>
    </row>
    <row r="122" spans="1:8" s="1" customFormat="1" ht="12.75" customHeight="1" x14ac:dyDescent="0.25">
      <c r="A122" s="23"/>
      <c r="B122" s="24"/>
      <c r="C122" s="25"/>
      <c r="D122" s="26">
        <v>0</v>
      </c>
      <c r="E122" s="25"/>
      <c r="F122" s="26"/>
      <c r="G122" s="27">
        <v>114385.4</v>
      </c>
      <c r="H122" s="27"/>
    </row>
    <row r="123" spans="1:8" s="1" customFormat="1" ht="12.75" customHeight="1" x14ac:dyDescent="0.25">
      <c r="A123" s="23"/>
      <c r="B123" s="24"/>
      <c r="C123" s="25"/>
      <c r="D123" s="26">
        <v>0</v>
      </c>
      <c r="E123" s="25"/>
      <c r="F123" s="26"/>
      <c r="G123" s="27">
        <v>81138.61</v>
      </c>
      <c r="H123" s="27"/>
    </row>
    <row r="124" spans="1:8" s="1" customFormat="1" ht="12.75" customHeight="1" x14ac:dyDescent="0.25">
      <c r="A124" s="23"/>
      <c r="B124" s="24"/>
      <c r="C124" s="25"/>
      <c r="D124" s="26">
        <v>0</v>
      </c>
      <c r="E124" s="25"/>
      <c r="F124" s="26"/>
      <c r="G124" s="27">
        <v>77629.86</v>
      </c>
      <c r="H124" s="27"/>
    </row>
    <row r="125" spans="1:8" s="1" customFormat="1" ht="12.75" customHeight="1" x14ac:dyDescent="0.25">
      <c r="A125" s="23"/>
      <c r="B125" s="24"/>
      <c r="C125" s="25"/>
      <c r="D125" s="26">
        <v>0</v>
      </c>
      <c r="E125" s="25"/>
      <c r="F125" s="26"/>
      <c r="G125" s="27">
        <v>79805.3</v>
      </c>
      <c r="H125" s="27"/>
    </row>
    <row r="126" spans="1:8" s="1" customFormat="1" ht="12.75" customHeight="1" x14ac:dyDescent="0.25">
      <c r="A126" s="23"/>
      <c r="B126" s="24"/>
      <c r="C126" s="25"/>
      <c r="D126" s="26">
        <v>0</v>
      </c>
      <c r="E126" s="25"/>
      <c r="F126" s="26"/>
      <c r="G126" s="27">
        <v>252230.39</v>
      </c>
      <c r="H126" s="27"/>
    </row>
    <row r="127" spans="1:8" s="1" customFormat="1" ht="12.75" customHeight="1" x14ac:dyDescent="0.25">
      <c r="A127" s="23"/>
      <c r="B127" s="24"/>
      <c r="C127" s="25"/>
      <c r="D127" s="26">
        <v>0</v>
      </c>
      <c r="E127" s="25"/>
      <c r="F127" s="26"/>
      <c r="G127" s="27">
        <v>74810.94</v>
      </c>
      <c r="H127" s="27"/>
    </row>
    <row r="128" spans="1:8" s="1" customFormat="1" ht="12.75" customHeight="1" x14ac:dyDescent="0.25">
      <c r="A128" s="23"/>
      <c r="B128" s="24"/>
      <c r="C128" s="25"/>
      <c r="D128" s="26">
        <v>0</v>
      </c>
      <c r="E128" s="25"/>
      <c r="F128" s="26"/>
      <c r="G128" s="27">
        <v>114592.16</v>
      </c>
      <c r="H128" s="27"/>
    </row>
    <row r="129" spans="1:8" s="1" customFormat="1" ht="12.75" customHeight="1" x14ac:dyDescent="0.25">
      <c r="A129" s="23"/>
      <c r="B129" s="24"/>
      <c r="C129" s="25"/>
      <c r="D129" s="26">
        <v>0</v>
      </c>
      <c r="E129" s="25"/>
      <c r="F129" s="26"/>
      <c r="G129" s="27">
        <v>60008.37</v>
      </c>
      <c r="H129" s="27"/>
    </row>
    <row r="130" spans="1:8" s="1" customFormat="1" ht="12.75" customHeight="1" x14ac:dyDescent="0.25">
      <c r="A130" s="23"/>
      <c r="B130" s="24"/>
      <c r="C130" s="25"/>
      <c r="D130" s="26">
        <v>0</v>
      </c>
      <c r="E130" s="25"/>
      <c r="F130" s="26"/>
      <c r="G130" s="27">
        <v>225177.94</v>
      </c>
      <c r="H130" s="27"/>
    </row>
    <row r="131" spans="1:8" s="1" customFormat="1" ht="12.75" customHeight="1" x14ac:dyDescent="0.25">
      <c r="A131" s="23"/>
      <c r="B131" s="24"/>
      <c r="C131" s="25"/>
      <c r="D131" s="26">
        <v>0</v>
      </c>
      <c r="E131" s="25"/>
      <c r="F131" s="26"/>
      <c r="G131" s="27">
        <v>49153.42</v>
      </c>
      <c r="H131" s="27"/>
    </row>
    <row r="132" spans="1:8" s="1" customFormat="1" ht="12.75" customHeight="1" x14ac:dyDescent="0.25">
      <c r="A132" s="23"/>
      <c r="B132" s="24"/>
      <c r="C132" s="25"/>
      <c r="D132" s="26">
        <v>0</v>
      </c>
      <c r="E132" s="25"/>
      <c r="F132" s="26"/>
      <c r="G132" s="27">
        <v>59489.91</v>
      </c>
      <c r="H132" s="27"/>
    </row>
    <row r="133" spans="1:8" s="1" customFormat="1" ht="12.75" customHeight="1" x14ac:dyDescent="0.25">
      <c r="A133" s="23"/>
      <c r="B133" s="24"/>
      <c r="C133" s="25"/>
      <c r="D133" s="26">
        <v>0</v>
      </c>
      <c r="E133" s="25"/>
      <c r="F133" s="26"/>
      <c r="G133" s="27">
        <v>55207.86</v>
      </c>
      <c r="H133" s="27"/>
    </row>
    <row r="134" spans="1:8" s="1" customFormat="1" ht="12.75" customHeight="1" x14ac:dyDescent="0.25">
      <c r="A134" s="23"/>
      <c r="B134" s="24"/>
      <c r="C134" s="25"/>
      <c r="D134" s="26">
        <v>0</v>
      </c>
      <c r="E134" s="25"/>
      <c r="F134" s="26"/>
      <c r="G134" s="27">
        <v>165779.22</v>
      </c>
      <c r="H134" s="27"/>
    </row>
    <row r="135" spans="1:8" s="1" customFormat="1" ht="12.75" customHeight="1" x14ac:dyDescent="0.25">
      <c r="A135" s="23"/>
      <c r="B135" s="24"/>
      <c r="C135" s="25"/>
      <c r="D135" s="26">
        <v>0</v>
      </c>
      <c r="E135" s="25"/>
      <c r="F135" s="26"/>
      <c r="G135" s="27">
        <v>19359.599999999999</v>
      </c>
      <c r="H135" s="27"/>
    </row>
    <row r="136" spans="1:8" s="1" customFormat="1" ht="12.75" customHeight="1" x14ac:dyDescent="0.25">
      <c r="A136" s="23"/>
      <c r="B136" s="24"/>
      <c r="C136" s="25"/>
      <c r="D136" s="26">
        <v>0</v>
      </c>
      <c r="E136" s="25"/>
      <c r="F136" s="26"/>
      <c r="G136" s="27">
        <v>79434.89</v>
      </c>
      <c r="H136" s="27"/>
    </row>
    <row r="137" spans="1:8" s="1" customFormat="1" ht="12.75" customHeight="1" x14ac:dyDescent="0.25">
      <c r="A137" s="23"/>
      <c r="B137" s="24"/>
      <c r="C137" s="25"/>
      <c r="D137" s="26">
        <v>0</v>
      </c>
      <c r="E137" s="25"/>
      <c r="F137" s="26"/>
      <c r="G137" s="27">
        <v>140195.20000000001</v>
      </c>
      <c r="H137" s="27"/>
    </row>
    <row r="138" spans="1:8" s="1" customFormat="1" ht="12.75" customHeight="1" x14ac:dyDescent="0.25">
      <c r="A138" s="23"/>
      <c r="B138" s="24"/>
      <c r="C138" s="25"/>
      <c r="D138" s="26">
        <v>0</v>
      </c>
      <c r="E138" s="25"/>
      <c r="F138" s="26"/>
      <c r="G138" s="27">
        <v>142364</v>
      </c>
      <c r="H138" s="27"/>
    </row>
    <row r="139" spans="1:8" s="1" customFormat="1" ht="12.75" customHeight="1" x14ac:dyDescent="0.25">
      <c r="A139" s="23"/>
      <c r="B139" s="24"/>
      <c r="C139" s="25"/>
      <c r="D139" s="26">
        <v>0</v>
      </c>
      <c r="E139" s="25"/>
      <c r="F139" s="26"/>
      <c r="G139" s="27">
        <v>245221.06</v>
      </c>
      <c r="H139" s="27"/>
    </row>
    <row r="140" spans="1:8" s="1" customFormat="1" ht="12.75" customHeight="1" x14ac:dyDescent="0.25">
      <c r="A140" s="23"/>
      <c r="B140" s="24"/>
      <c r="C140" s="25"/>
      <c r="D140" s="26">
        <v>0</v>
      </c>
      <c r="E140" s="25"/>
      <c r="F140" s="26"/>
      <c r="G140" s="27">
        <v>187889.8</v>
      </c>
      <c r="H140" s="27"/>
    </row>
    <row r="141" spans="1:8" s="1" customFormat="1" ht="12.75" customHeight="1" x14ac:dyDescent="0.25">
      <c r="A141" s="23"/>
      <c r="B141" s="24"/>
      <c r="C141" s="25"/>
      <c r="D141" s="26">
        <v>0</v>
      </c>
      <c r="E141" s="25"/>
      <c r="F141" s="26"/>
      <c r="G141" s="27">
        <v>131372.25</v>
      </c>
      <c r="H141" s="27"/>
    </row>
    <row r="142" spans="1:8" s="1" customFormat="1" ht="12.75" customHeight="1" x14ac:dyDescent="0.25">
      <c r="A142" s="23"/>
      <c r="B142" s="24"/>
      <c r="C142" s="25"/>
      <c r="D142" s="26">
        <v>0</v>
      </c>
      <c r="E142" s="25"/>
      <c r="F142" s="26"/>
      <c r="G142" s="27">
        <v>246114.94</v>
      </c>
      <c r="H142" s="27"/>
    </row>
    <row r="143" spans="1:8" s="1" customFormat="1" ht="12.75" customHeight="1" x14ac:dyDescent="0.25">
      <c r="A143" s="23"/>
      <c r="B143" s="24"/>
      <c r="C143" s="25"/>
      <c r="D143" s="26">
        <v>0</v>
      </c>
      <c r="E143" s="25"/>
      <c r="F143" s="26"/>
      <c r="G143" s="27">
        <v>127355.02</v>
      </c>
      <c r="H143" s="27"/>
    </row>
    <row r="144" spans="1:8" s="1" customFormat="1" ht="12.75" customHeight="1" x14ac:dyDescent="0.25">
      <c r="A144" s="23"/>
      <c r="B144" s="24"/>
      <c r="C144" s="25"/>
      <c r="D144" s="26">
        <v>0</v>
      </c>
      <c r="E144" s="25"/>
      <c r="F144" s="26"/>
      <c r="G144" s="27">
        <v>65300.4</v>
      </c>
      <c r="H144" s="27"/>
    </row>
    <row r="145" spans="1:8" s="1" customFormat="1" ht="12.75" customHeight="1" x14ac:dyDescent="0.25">
      <c r="A145" s="23"/>
      <c r="B145" s="24"/>
      <c r="C145" s="25"/>
      <c r="D145" s="26">
        <v>0</v>
      </c>
      <c r="E145" s="25"/>
      <c r="F145" s="26"/>
      <c r="G145" s="27">
        <v>96995.07</v>
      </c>
      <c r="H145" s="27"/>
    </row>
    <row r="146" spans="1:8" s="1" customFormat="1" ht="12.75" customHeight="1" x14ac:dyDescent="0.25">
      <c r="A146" s="23"/>
      <c r="B146" s="24"/>
      <c r="C146" s="25"/>
      <c r="D146" s="26">
        <v>0</v>
      </c>
      <c r="E146" s="25"/>
      <c r="F146" s="26"/>
      <c r="G146" s="27">
        <v>253170.46</v>
      </c>
      <c r="H146" s="27"/>
    </row>
    <row r="147" spans="1:8" s="1" customFormat="1" ht="12.75" customHeight="1" x14ac:dyDescent="0.25">
      <c r="A147" s="23"/>
      <c r="B147" s="24"/>
      <c r="C147" s="25"/>
      <c r="D147" s="26">
        <v>0</v>
      </c>
      <c r="E147" s="25"/>
      <c r="F147" s="26"/>
      <c r="G147" s="27">
        <v>55411.7</v>
      </c>
      <c r="H147" s="27"/>
    </row>
    <row r="148" spans="1:8" s="1" customFormat="1" ht="12.75" customHeight="1" x14ac:dyDescent="0.25">
      <c r="A148" s="23"/>
      <c r="B148" s="24"/>
      <c r="C148" s="25"/>
      <c r="D148" s="26">
        <v>0</v>
      </c>
      <c r="E148" s="25"/>
      <c r="F148" s="26"/>
      <c r="G148" s="27">
        <v>72336.179999999993</v>
      </c>
      <c r="H148" s="27"/>
    </row>
    <row r="149" spans="1:8" s="1" customFormat="1" ht="12.75" customHeight="1" x14ac:dyDescent="0.25">
      <c r="A149" s="23"/>
      <c r="B149" s="24"/>
      <c r="C149" s="25"/>
      <c r="D149" s="26">
        <v>0</v>
      </c>
      <c r="E149" s="25"/>
      <c r="F149" s="26"/>
      <c r="G149" s="27">
        <v>138166.82</v>
      </c>
      <c r="H149" s="27"/>
    </row>
    <row r="150" spans="1:8" s="1" customFormat="1" ht="12.75" customHeight="1" x14ac:dyDescent="0.25">
      <c r="A150" s="23"/>
      <c r="B150" s="24"/>
      <c r="C150" s="25"/>
      <c r="D150" s="26">
        <v>0</v>
      </c>
      <c r="E150" s="25"/>
      <c r="F150" s="26"/>
      <c r="G150" s="27">
        <v>108498.1</v>
      </c>
      <c r="H150" s="27"/>
    </row>
    <row r="151" spans="1:8" s="1" customFormat="1" ht="12.75" customHeight="1" x14ac:dyDescent="0.25">
      <c r="A151" s="23"/>
      <c r="B151" s="24"/>
      <c r="C151" s="25"/>
      <c r="D151" s="26">
        <v>0</v>
      </c>
      <c r="E151" s="25"/>
      <c r="F151" s="26"/>
      <c r="G151" s="27">
        <v>144672.35999999999</v>
      </c>
      <c r="H151" s="27"/>
    </row>
    <row r="152" spans="1:8" s="1" customFormat="1" ht="12.75" customHeight="1" x14ac:dyDescent="0.25">
      <c r="A152" s="23"/>
      <c r="B152" s="24"/>
      <c r="C152" s="25"/>
      <c r="D152" s="26">
        <v>0</v>
      </c>
      <c r="E152" s="25"/>
      <c r="F152" s="26"/>
      <c r="G152" s="27">
        <v>143862.20000000001</v>
      </c>
      <c r="H152" s="27"/>
    </row>
    <row r="153" spans="1:8" s="1" customFormat="1" ht="12.75" customHeight="1" x14ac:dyDescent="0.25">
      <c r="A153" s="23"/>
      <c r="B153" s="24"/>
      <c r="C153" s="25"/>
      <c r="D153" s="26">
        <v>0</v>
      </c>
      <c r="E153" s="25"/>
      <c r="F153" s="26"/>
      <c r="G153" s="27">
        <v>253170.46</v>
      </c>
      <c r="H153" s="27"/>
    </row>
    <row r="154" spans="1:8" s="1" customFormat="1" ht="12.75" customHeight="1" x14ac:dyDescent="0.25">
      <c r="A154" s="23"/>
      <c r="B154" s="24"/>
      <c r="C154" s="25"/>
      <c r="D154" s="26">
        <v>0</v>
      </c>
      <c r="E154" s="25"/>
      <c r="F154" s="26"/>
      <c r="G154" s="27">
        <v>68982.7</v>
      </c>
      <c r="H154" s="27"/>
    </row>
    <row r="155" spans="1:8" s="1" customFormat="1" ht="12.75" customHeight="1" x14ac:dyDescent="0.25">
      <c r="A155" s="23"/>
      <c r="B155" s="24"/>
      <c r="C155" s="25"/>
      <c r="D155" s="26">
        <v>0</v>
      </c>
      <c r="E155" s="25"/>
      <c r="F155" s="26"/>
      <c r="G155" s="27">
        <v>66453.929999999993</v>
      </c>
      <c r="H155" s="27"/>
    </row>
    <row r="156" spans="1:8" s="1" customFormat="1" ht="12.75" customHeight="1" x14ac:dyDescent="0.25">
      <c r="A156" s="23"/>
      <c r="B156" s="24"/>
      <c r="C156" s="25"/>
      <c r="D156" s="26">
        <v>0</v>
      </c>
      <c r="E156" s="25"/>
      <c r="F156" s="26"/>
      <c r="G156" s="27">
        <v>119223.25</v>
      </c>
      <c r="H156" s="27"/>
    </row>
    <row r="157" spans="1:8" s="1" customFormat="1" ht="12.75" customHeight="1" x14ac:dyDescent="0.25">
      <c r="A157" s="23"/>
      <c r="B157" s="24"/>
      <c r="C157" s="25"/>
      <c r="D157" s="26">
        <v>0</v>
      </c>
      <c r="E157" s="25"/>
      <c r="F157" s="26"/>
      <c r="G157" s="27">
        <v>62052.62</v>
      </c>
      <c r="H157" s="27"/>
    </row>
    <row r="158" spans="1:8" s="1" customFormat="1" ht="12.75" customHeight="1" x14ac:dyDescent="0.25">
      <c r="A158" s="23"/>
      <c r="B158" s="24"/>
      <c r="C158" s="25"/>
      <c r="D158" s="26">
        <v>0</v>
      </c>
      <c r="E158" s="25"/>
      <c r="F158" s="26"/>
      <c r="G158" s="27">
        <v>33726.31</v>
      </c>
      <c r="H158" s="27"/>
    </row>
    <row r="159" spans="1:8" s="1" customFormat="1" ht="12.75" customHeight="1" x14ac:dyDescent="0.25">
      <c r="A159" s="23"/>
      <c r="B159" s="24"/>
      <c r="C159" s="25"/>
      <c r="D159" s="26">
        <v>0</v>
      </c>
      <c r="E159" s="25"/>
      <c r="F159" s="26"/>
      <c r="G159" s="27">
        <v>237337.73</v>
      </c>
      <c r="H159" s="27"/>
    </row>
    <row r="160" spans="1:8" s="1" customFormat="1" ht="12.75" customHeight="1" x14ac:dyDescent="0.25">
      <c r="A160" s="23"/>
      <c r="B160" s="24"/>
      <c r="C160" s="25"/>
      <c r="D160" s="26">
        <v>0</v>
      </c>
      <c r="E160" s="25"/>
      <c r="F160" s="26"/>
      <c r="G160" s="27">
        <v>154552.69</v>
      </c>
      <c r="H160" s="27"/>
    </row>
    <row r="161" spans="1:8" s="1" customFormat="1" ht="12.75" customHeight="1" x14ac:dyDescent="0.25">
      <c r="A161" s="23"/>
      <c r="B161" s="24"/>
      <c r="C161" s="25"/>
      <c r="D161" s="26">
        <v>0</v>
      </c>
      <c r="E161" s="25"/>
      <c r="F161" s="26"/>
      <c r="G161" s="27">
        <v>78086.94</v>
      </c>
      <c r="H161" s="27"/>
    </row>
    <row r="162" spans="1:8" s="1" customFormat="1" ht="12.75" customHeight="1" x14ac:dyDescent="0.25">
      <c r="A162" s="23"/>
      <c r="B162" s="24"/>
      <c r="C162" s="25"/>
      <c r="D162" s="26">
        <v>0</v>
      </c>
      <c r="E162" s="25"/>
      <c r="F162" s="26"/>
      <c r="G162" s="27">
        <v>66746.45</v>
      </c>
      <c r="H162" s="27"/>
    </row>
    <row r="163" spans="1:8" s="1" customFormat="1" ht="12.75" customHeight="1" x14ac:dyDescent="0.25">
      <c r="A163" s="23"/>
      <c r="B163" s="24"/>
      <c r="C163" s="25"/>
      <c r="D163" s="26">
        <v>0</v>
      </c>
      <c r="E163" s="25"/>
      <c r="F163" s="26"/>
      <c r="G163" s="27">
        <v>223638.6</v>
      </c>
      <c r="H163" s="27"/>
    </row>
    <row r="164" spans="1:8" s="1" customFormat="1" ht="12.75" customHeight="1" x14ac:dyDescent="0.25">
      <c r="A164" s="23"/>
      <c r="B164" s="24"/>
      <c r="C164" s="25"/>
      <c r="D164" s="26">
        <v>0</v>
      </c>
      <c r="E164" s="25"/>
      <c r="F164" s="26"/>
      <c r="G164" s="27">
        <v>70424.240000000005</v>
      </c>
      <c r="H164" s="27"/>
    </row>
    <row r="165" spans="1:8" s="1" customFormat="1" ht="12.75" customHeight="1" x14ac:dyDescent="0.25">
      <c r="A165" s="23"/>
      <c r="B165" s="24"/>
      <c r="C165" s="25"/>
      <c r="D165" s="26">
        <v>0</v>
      </c>
      <c r="E165" s="25"/>
      <c r="F165" s="26"/>
      <c r="G165" s="27">
        <v>223638.6</v>
      </c>
      <c r="H165" s="27"/>
    </row>
    <row r="166" spans="1:8" s="1" customFormat="1" ht="12.75" customHeight="1" x14ac:dyDescent="0.25">
      <c r="A166" s="23"/>
      <c r="B166" s="24"/>
      <c r="C166" s="25"/>
      <c r="D166" s="26">
        <v>0</v>
      </c>
      <c r="E166" s="25"/>
      <c r="F166" s="26"/>
      <c r="G166" s="27">
        <v>69795.429999999993</v>
      </c>
      <c r="H166" s="27"/>
    </row>
    <row r="167" spans="1:8" s="1" customFormat="1" ht="12.75" customHeight="1" x14ac:dyDescent="0.25">
      <c r="A167" s="23"/>
      <c r="B167" s="24"/>
      <c r="C167" s="25"/>
      <c r="D167" s="26">
        <v>0</v>
      </c>
      <c r="E167" s="25"/>
      <c r="F167" s="26"/>
      <c r="G167" s="27">
        <v>223638.6</v>
      </c>
      <c r="H167" s="27"/>
    </row>
    <row r="168" spans="1:8" s="1" customFormat="1" ht="12.75" customHeight="1" x14ac:dyDescent="0.25">
      <c r="A168" s="23"/>
      <c r="B168" s="24"/>
      <c r="C168" s="25"/>
      <c r="D168" s="26">
        <v>0</v>
      </c>
      <c r="E168" s="25"/>
      <c r="F168" s="26"/>
      <c r="G168" s="27">
        <v>68921.75</v>
      </c>
      <c r="H168" s="27"/>
    </row>
    <row r="169" spans="1:8" s="1" customFormat="1" ht="12.75" customHeight="1" x14ac:dyDescent="0.25">
      <c r="A169" s="23"/>
      <c r="B169" s="24"/>
      <c r="C169" s="25"/>
      <c r="D169" s="26">
        <v>0</v>
      </c>
      <c r="E169" s="25"/>
      <c r="F169" s="26"/>
      <c r="G169" s="27">
        <v>48260.639999999999</v>
      </c>
      <c r="H169" s="27"/>
    </row>
    <row r="170" spans="1:8" s="1" customFormat="1" ht="12.75" customHeight="1" x14ac:dyDescent="0.25">
      <c r="A170" s="23"/>
      <c r="B170" s="24"/>
      <c r="C170" s="25"/>
      <c r="D170" s="26">
        <v>0</v>
      </c>
      <c r="E170" s="25"/>
      <c r="F170" s="26"/>
      <c r="G170" s="27">
        <v>175377.96</v>
      </c>
      <c r="H170" s="27"/>
    </row>
    <row r="171" spans="1:8" s="1" customFormat="1" ht="12.75" customHeight="1" x14ac:dyDescent="0.25">
      <c r="A171" s="23"/>
      <c r="B171" s="24"/>
      <c r="C171" s="25"/>
      <c r="D171" s="26">
        <v>0</v>
      </c>
      <c r="E171" s="25"/>
      <c r="F171" s="26"/>
      <c r="G171" s="27">
        <v>64838.12</v>
      </c>
      <c r="H171" s="27"/>
    </row>
    <row r="172" spans="1:8" s="1" customFormat="1" ht="12.75" customHeight="1" x14ac:dyDescent="0.25">
      <c r="A172" s="23"/>
      <c r="B172" s="24"/>
      <c r="C172" s="25"/>
      <c r="D172" s="26">
        <v>0</v>
      </c>
      <c r="E172" s="25"/>
      <c r="F172" s="26"/>
      <c r="G172" s="27">
        <v>42479.28</v>
      </c>
      <c r="H172" s="27"/>
    </row>
    <row r="173" spans="1:8" s="1" customFormat="1" ht="12.75" customHeight="1" x14ac:dyDescent="0.25">
      <c r="A173" s="23"/>
      <c r="B173" s="24"/>
      <c r="C173" s="25"/>
      <c r="D173" s="26">
        <v>0</v>
      </c>
      <c r="E173" s="25"/>
      <c r="F173" s="26"/>
      <c r="G173" s="27">
        <v>181159.32</v>
      </c>
      <c r="H173" s="27"/>
    </row>
    <row r="174" spans="1:8" s="1" customFormat="1" ht="12.75" customHeight="1" x14ac:dyDescent="0.25">
      <c r="A174" s="23"/>
      <c r="B174" s="24"/>
      <c r="C174" s="25"/>
      <c r="D174" s="26">
        <v>0</v>
      </c>
      <c r="E174" s="25"/>
      <c r="F174" s="26"/>
      <c r="G174" s="27">
        <v>44075.42</v>
      </c>
      <c r="H174" s="27"/>
    </row>
    <row r="175" spans="1:8" s="1" customFormat="1" ht="12.75" customHeight="1" x14ac:dyDescent="0.25">
      <c r="A175" s="23"/>
      <c r="B175" s="24"/>
      <c r="C175" s="25"/>
      <c r="D175" s="26">
        <v>0</v>
      </c>
      <c r="E175" s="25"/>
      <c r="F175" s="26"/>
      <c r="G175" s="27">
        <v>160387.23000000001</v>
      </c>
      <c r="H175" s="27"/>
    </row>
    <row r="176" spans="1:8" s="1" customFormat="1" ht="12.75" customHeight="1" x14ac:dyDescent="0.25">
      <c r="A176" s="23"/>
      <c r="B176" s="24"/>
      <c r="C176" s="25"/>
      <c r="D176" s="26">
        <v>0</v>
      </c>
      <c r="E176" s="25"/>
      <c r="F176" s="26"/>
      <c r="G176" s="27">
        <v>203611.42</v>
      </c>
      <c r="H176" s="27"/>
    </row>
    <row r="177" spans="1:8" s="1" customFormat="1" ht="12.75" customHeight="1" x14ac:dyDescent="0.25">
      <c r="A177" s="23"/>
      <c r="B177" s="24"/>
      <c r="C177" s="25"/>
      <c r="D177" s="26">
        <v>0</v>
      </c>
      <c r="E177" s="25"/>
      <c r="F177" s="26"/>
      <c r="G177" s="27">
        <v>81675.19</v>
      </c>
      <c r="H177" s="27"/>
    </row>
    <row r="178" spans="1:8" s="1" customFormat="1" ht="12.75" customHeight="1" x14ac:dyDescent="0.25">
      <c r="A178" s="23"/>
      <c r="B178" s="24"/>
      <c r="C178" s="25"/>
      <c r="D178" s="26">
        <v>0</v>
      </c>
      <c r="E178" s="25"/>
      <c r="F178" s="26"/>
      <c r="G178" s="27">
        <v>40431.03</v>
      </c>
      <c r="H178" s="27"/>
    </row>
    <row r="179" spans="1:8" s="1" customFormat="1" ht="12.75" customHeight="1" x14ac:dyDescent="0.25">
      <c r="A179" s="23"/>
      <c r="B179" s="24"/>
      <c r="C179" s="25"/>
      <c r="D179" s="26">
        <v>0</v>
      </c>
      <c r="E179" s="25"/>
      <c r="F179" s="26"/>
      <c r="G179" s="27">
        <v>184746.91</v>
      </c>
      <c r="H179" s="27"/>
    </row>
    <row r="180" spans="1:8" s="1" customFormat="1" ht="12.75" customHeight="1" x14ac:dyDescent="0.25">
      <c r="A180" s="23"/>
      <c r="B180" s="24"/>
      <c r="C180" s="25"/>
      <c r="D180" s="26">
        <v>0</v>
      </c>
      <c r="E180" s="25"/>
      <c r="F180" s="26"/>
      <c r="G180" s="27">
        <v>157315.5</v>
      </c>
      <c r="H180" s="27"/>
    </row>
    <row r="181" spans="1:8" s="1" customFormat="1" ht="12.75" customHeight="1" x14ac:dyDescent="0.25">
      <c r="A181" s="23"/>
      <c r="B181" s="24"/>
      <c r="C181" s="25"/>
      <c r="D181" s="26">
        <v>0</v>
      </c>
      <c r="E181" s="25"/>
      <c r="F181" s="26"/>
      <c r="G181" s="27">
        <v>48985.34</v>
      </c>
      <c r="H181" s="27"/>
    </row>
    <row r="182" spans="1:8" s="1" customFormat="1" ht="12.75" customHeight="1" x14ac:dyDescent="0.25">
      <c r="A182" s="23"/>
      <c r="B182" s="24"/>
      <c r="C182" s="25"/>
      <c r="D182" s="26">
        <v>0</v>
      </c>
      <c r="E182" s="25"/>
      <c r="F182" s="26"/>
      <c r="G182" s="27">
        <v>64343.45</v>
      </c>
      <c r="H182" s="27"/>
    </row>
    <row r="183" spans="1:8" s="1" customFormat="1" ht="12.75" customHeight="1" x14ac:dyDescent="0.25">
      <c r="A183" s="23"/>
      <c r="B183" s="24"/>
      <c r="C183" s="25"/>
      <c r="D183" s="26">
        <v>0</v>
      </c>
      <c r="E183" s="25"/>
      <c r="F183" s="26"/>
      <c r="G183" s="27">
        <v>70797.679999999993</v>
      </c>
      <c r="H183" s="27"/>
    </row>
    <row r="184" spans="1:8" s="1" customFormat="1" ht="12.75" customHeight="1" x14ac:dyDescent="0.25">
      <c r="A184" s="23"/>
      <c r="B184" s="24"/>
      <c r="C184" s="25"/>
      <c r="D184" s="26">
        <v>0</v>
      </c>
      <c r="E184" s="25"/>
      <c r="F184" s="26"/>
      <c r="G184" s="27">
        <v>79285.86</v>
      </c>
      <c r="H184" s="27"/>
    </row>
    <row r="185" spans="1:8" s="1" customFormat="1" ht="12.75" customHeight="1" x14ac:dyDescent="0.25">
      <c r="A185" s="23"/>
      <c r="B185" s="24"/>
      <c r="C185" s="25"/>
      <c r="D185" s="26">
        <v>0</v>
      </c>
      <c r="E185" s="25"/>
      <c r="F185" s="26"/>
      <c r="G185" s="27">
        <v>84866.75</v>
      </c>
      <c r="H185" s="27"/>
    </row>
    <row r="186" spans="1:8" s="1" customFormat="1" ht="12.75" customHeight="1" x14ac:dyDescent="0.25">
      <c r="A186" s="23"/>
      <c r="B186" s="24"/>
      <c r="C186" s="25"/>
      <c r="D186" s="26">
        <v>0</v>
      </c>
      <c r="E186" s="25"/>
      <c r="F186" s="26"/>
      <c r="G186" s="27">
        <v>38193.730000000003</v>
      </c>
      <c r="H186" s="27"/>
    </row>
    <row r="187" spans="1:8" s="1" customFormat="1" ht="12.75" customHeight="1" x14ac:dyDescent="0.25">
      <c r="A187" s="23"/>
      <c r="B187" s="24"/>
      <c r="C187" s="25"/>
      <c r="D187" s="26">
        <v>0</v>
      </c>
      <c r="E187" s="25"/>
      <c r="F187" s="26"/>
      <c r="G187" s="27">
        <v>80294.47</v>
      </c>
      <c r="H187" s="27"/>
    </row>
    <row r="188" spans="1:8" s="1" customFormat="1" ht="12.75" customHeight="1" x14ac:dyDescent="0.25">
      <c r="A188" s="23"/>
      <c r="B188" s="24"/>
      <c r="C188" s="25"/>
      <c r="D188" s="26">
        <v>0</v>
      </c>
      <c r="E188" s="25"/>
      <c r="F188" s="26"/>
      <c r="G188" s="27">
        <v>161835.89000000001</v>
      </c>
      <c r="H188" s="27"/>
    </row>
    <row r="189" spans="1:8" s="1" customFormat="1" ht="12.75" customHeight="1" x14ac:dyDescent="0.25">
      <c r="A189" s="23"/>
      <c r="B189" s="24"/>
      <c r="C189" s="25"/>
      <c r="D189" s="26">
        <v>0</v>
      </c>
      <c r="E189" s="25"/>
      <c r="F189" s="26"/>
      <c r="G189" s="27">
        <v>63342.05</v>
      </c>
      <c r="H189" s="27"/>
    </row>
    <row r="190" spans="1:8" s="1" customFormat="1" ht="12.75" customHeight="1" x14ac:dyDescent="0.25">
      <c r="A190" s="23"/>
      <c r="B190" s="24"/>
      <c r="C190" s="25"/>
      <c r="D190" s="26">
        <v>0</v>
      </c>
      <c r="E190" s="25"/>
      <c r="F190" s="26"/>
      <c r="G190" s="27">
        <v>57568.94</v>
      </c>
      <c r="H190" s="27"/>
    </row>
    <row r="191" spans="1:8" s="1" customFormat="1" ht="12.75" customHeight="1" x14ac:dyDescent="0.25">
      <c r="A191" s="23"/>
      <c r="B191" s="24"/>
      <c r="C191" s="25"/>
      <c r="D191" s="26">
        <v>0</v>
      </c>
      <c r="E191" s="25"/>
      <c r="F191" s="26"/>
      <c r="G191" s="27">
        <v>225177.94</v>
      </c>
      <c r="H191" s="27"/>
    </row>
    <row r="192" spans="1:8" s="1" customFormat="1" ht="12.75" customHeight="1" x14ac:dyDescent="0.25">
      <c r="A192" s="23"/>
      <c r="B192" s="24"/>
      <c r="C192" s="25"/>
      <c r="D192" s="26">
        <v>0</v>
      </c>
      <c r="E192" s="25"/>
      <c r="F192" s="26"/>
      <c r="G192" s="27">
        <v>122017.59</v>
      </c>
      <c r="H192" s="27"/>
    </row>
    <row r="193" spans="1:8" s="1" customFormat="1" ht="12.75" customHeight="1" x14ac:dyDescent="0.25">
      <c r="A193" s="23"/>
      <c r="B193" s="24"/>
      <c r="C193" s="25"/>
      <c r="D193" s="26">
        <v>0</v>
      </c>
      <c r="E193" s="25"/>
      <c r="F193" s="26"/>
      <c r="G193" s="27">
        <v>62073.82</v>
      </c>
      <c r="H193" s="27"/>
    </row>
    <row r="194" spans="1:8" s="1" customFormat="1" ht="12.75" customHeight="1" x14ac:dyDescent="0.25">
      <c r="A194" s="23"/>
      <c r="B194" s="24"/>
      <c r="C194" s="25"/>
      <c r="D194" s="26">
        <v>0</v>
      </c>
      <c r="E194" s="25"/>
      <c r="F194" s="26"/>
      <c r="G194" s="27">
        <v>34362.660000000003</v>
      </c>
      <c r="H194" s="27"/>
    </row>
    <row r="195" spans="1:8" s="1" customFormat="1" ht="12.75" customHeight="1" x14ac:dyDescent="0.25">
      <c r="A195" s="23"/>
      <c r="B195" s="24"/>
      <c r="C195" s="25"/>
      <c r="D195" s="26">
        <v>0</v>
      </c>
      <c r="E195" s="25"/>
      <c r="F195" s="26"/>
      <c r="G195" s="27">
        <v>853.37</v>
      </c>
      <c r="H195" s="27"/>
    </row>
    <row r="196" spans="1:8" s="1" customFormat="1" ht="12.75" customHeight="1" x14ac:dyDescent="0.25">
      <c r="A196" s="23"/>
      <c r="B196" s="24"/>
      <c r="C196" s="25"/>
      <c r="D196" s="26">
        <v>0</v>
      </c>
      <c r="E196" s="25"/>
      <c r="F196" s="26"/>
      <c r="G196" s="27">
        <v>48012.84</v>
      </c>
      <c r="H196" s="27"/>
    </row>
    <row r="197" spans="1:8" s="1" customFormat="1" ht="12.75" customHeight="1" x14ac:dyDescent="0.25">
      <c r="A197" s="23"/>
      <c r="B197" s="24"/>
      <c r="C197" s="25"/>
      <c r="D197" s="26">
        <v>0</v>
      </c>
      <c r="E197" s="25"/>
      <c r="F197" s="26"/>
      <c r="G197" s="27">
        <v>46190.239999999998</v>
      </c>
      <c r="H197" s="27"/>
    </row>
    <row r="198" spans="1:8" s="1" customFormat="1" ht="12.75" customHeight="1" x14ac:dyDescent="0.25">
      <c r="A198" s="23"/>
      <c r="B198" s="24"/>
      <c r="C198" s="25"/>
      <c r="D198" s="26">
        <v>0</v>
      </c>
      <c r="E198" s="25"/>
      <c r="F198" s="26"/>
      <c r="G198" s="27">
        <v>118114.48</v>
      </c>
      <c r="H198" s="27"/>
    </row>
    <row r="199" spans="1:8" s="2" customFormat="1" ht="13.5" customHeight="1" thickBot="1" x14ac:dyDescent="0.3">
      <c r="A199" s="28"/>
      <c r="B199" s="31"/>
      <c r="C199" s="34"/>
      <c r="D199" s="32"/>
      <c r="E199" s="34"/>
      <c r="F199" s="43"/>
      <c r="G199" s="32">
        <v>19082485.280000001</v>
      </c>
      <c r="H199" s="35"/>
    </row>
    <row r="200" spans="1:8" s="1" customFormat="1" x14ac:dyDescent="0.25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Савина Юлия Николаевна</cp:lastModifiedBy>
  <cp:lastPrinted>2008-09-24T13:05:01Z</cp:lastPrinted>
  <dcterms:created xsi:type="dcterms:W3CDTF">2008-09-22T07:48:24Z</dcterms:created>
  <dcterms:modified xsi:type="dcterms:W3CDTF">2026-07-15T11:21:20Z</dcterms:modified>
</cp:coreProperties>
</file>